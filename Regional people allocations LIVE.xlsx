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tables/table10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tables/table1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atatorque.sharepoint.com/sites/FinanceAdminHR-PortfolioPlanningandReporting/Shared Documents/Portfolio Planning and Reporting/People allocations/"/>
    </mc:Choice>
  </mc:AlternateContent>
  <xr:revisionPtr revIDLastSave="10445" documentId="8_{CDA06522-23F2-4930-89D5-EDB2D0BD9355}" xr6:coauthVersionLast="47" xr6:coauthVersionMax="47" xr10:uidLastSave="{4F56537D-9087-4B3B-BE2A-F3E9FB080D57}"/>
  <bookViews>
    <workbookView xWindow="-120" yWindow="-120" windowWidth="29040" windowHeight="15720" activeTab="2" xr2:uid="{B09431EC-FBEA-4FA9-9479-2106A43F93D7}"/>
  </bookViews>
  <sheets>
    <sheet name="Summary" sheetId="8" r:id="rId1"/>
    <sheet name="Role split" sheetId="16" r:id="rId2"/>
    <sheet name="Regional allocations LIVE" sheetId="5" r:id="rId3"/>
    <sheet name="Job Category (2019)" sheetId="15" r:id="rId4"/>
    <sheet name="Headcount by country" sheetId="11" r:id="rId5"/>
    <sheet name="Lists" sheetId="10" r:id="rId6"/>
    <sheet name="Notes" sheetId="3" r:id="rId7"/>
    <sheet name="Start list_Transition Planning" sheetId="1" r:id="rId8"/>
    <sheet name="OLDRequests Escalations &amp; Moves" sheetId="4" r:id="rId9"/>
    <sheet name="OLD - Regional allocations July" sheetId="12" r:id="rId10"/>
    <sheet name="Archive" sheetId="7" state="hidden" r:id="rId11"/>
  </sheets>
  <definedNames>
    <definedName name="_xlnm._FilterDatabase" localSheetId="10" hidden="1">Archive!$B$3:$J$176</definedName>
    <definedName name="_xlnm._FilterDatabase" localSheetId="9" hidden="1">'OLD - Regional allocations July'!$A$3:$A$201</definedName>
    <definedName name="_xlnm._FilterDatabase" localSheetId="2" hidden="1">'Regional allocations LIVE'!$W$3:$Z$272</definedName>
    <definedName name="_xlnm._FilterDatabase" localSheetId="7" hidden="1">'Start list_Transition Planning'!$A$3:$G$170</definedName>
    <definedName name="DT_AVGCharge">#REF!</definedName>
    <definedName name="DT_AVGSalary">#REF!</definedName>
    <definedName name="DT_ClientName">#REF!</definedName>
    <definedName name="DT_Ex_Curr_Rate">#REF!</definedName>
    <definedName name="DT_WorkDaysPA">#REF!</definedName>
    <definedName name="ExternalData_1" localSheetId="3" hidden="1">'Job Category (2019)'!$A$3:$D$455</definedName>
    <definedName name="Possibility">#REF!</definedName>
  </definedNames>
  <calcPr calcId="191028"/>
  <pivotCaches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1" i="8" l="1" a="1"/>
  <c r="AL61" i="8" s="1"/>
  <c r="AL56" i="8" a="1"/>
  <c r="AL56" i="8" s="1"/>
  <c r="AL54" i="8" a="1"/>
  <c r="AL54" i="8" s="1"/>
  <c r="AL58" i="8" a="1"/>
  <c r="AL58" i="8" s="1"/>
  <c r="AL57" i="8" a="1"/>
  <c r="AL57" i="8" s="1"/>
  <c r="AL53" i="8" a="1"/>
  <c r="AL53" i="8" s="1"/>
  <c r="AL60" i="8" a="1"/>
  <c r="AL60" i="8" s="1"/>
  <c r="AL55" i="8" a="1"/>
  <c r="AL55" i="8" s="1"/>
  <c r="AL59" i="8" a="1"/>
  <c r="AL59" i="8" s="1"/>
  <c r="AL52" i="8" a="1"/>
  <c r="AL52" i="8" s="1"/>
  <c r="AK56" i="8" a="1"/>
  <c r="AK56" i="8" s="1"/>
  <c r="AK60" i="8" a="1"/>
  <c r="AK60" i="8" s="1"/>
  <c r="AK61" i="8" a="1"/>
  <c r="AK61" i="8" s="1"/>
  <c r="AK55" i="8" a="1"/>
  <c r="AK55" i="8" s="1"/>
  <c r="AK57" i="8" a="1"/>
  <c r="AK57" i="8" s="1"/>
  <c r="AK52" i="8" a="1"/>
  <c r="AK52" i="8" s="1"/>
  <c r="AK53" i="8" a="1"/>
  <c r="AK53" i="8" s="1"/>
  <c r="AK59" i="8" a="1"/>
  <c r="AK59" i="8" s="1"/>
  <c r="AK54" i="8" a="1"/>
  <c r="AK54" i="8" s="1"/>
  <c r="AK58" i="8" a="1"/>
  <c r="AK58" i="8" s="1"/>
  <c r="AX53" i="8" a="1"/>
  <c r="AX53" i="8" s="1"/>
  <c r="AX61" i="8" a="1"/>
  <c r="AX61" i="8" s="1"/>
  <c r="AX52" i="8" a="1"/>
  <c r="AX52" i="8" s="1"/>
  <c r="AX59" i="8" a="1"/>
  <c r="AX59" i="8" s="1"/>
  <c r="AX58" i="8" a="1"/>
  <c r="AX58" i="8" s="1"/>
  <c r="AX56" i="8" a="1"/>
  <c r="AX56" i="8" s="1"/>
  <c r="AX60" i="8" a="1"/>
  <c r="AX60" i="8" s="1"/>
  <c r="AX57" i="8" a="1"/>
  <c r="AX57" i="8" s="1"/>
  <c r="AX54" i="8" a="1"/>
  <c r="AX54" i="8" s="1"/>
  <c r="AX55" i="8" a="1"/>
  <c r="AX55" i="8" s="1"/>
  <c r="AP57" i="8" a="1"/>
  <c r="AP57" i="8" s="1"/>
  <c r="AP56" i="8" a="1"/>
  <c r="AP56" i="8" s="1"/>
  <c r="AP52" i="8" a="1"/>
  <c r="AP52" i="8" s="1"/>
  <c r="AP55" i="8" a="1"/>
  <c r="AP55" i="8" s="1"/>
  <c r="AP59" i="8" a="1"/>
  <c r="AP59" i="8" s="1"/>
  <c r="AP54" i="8" a="1"/>
  <c r="AP54" i="8" s="1"/>
  <c r="AP61" i="8" a="1"/>
  <c r="AP61" i="8" s="1"/>
  <c r="AP60" i="8" a="1"/>
  <c r="AP60" i="8" s="1"/>
  <c r="AP53" i="8" a="1"/>
  <c r="AP53" i="8" s="1"/>
  <c r="AP58" i="8" a="1"/>
  <c r="AP58" i="8" s="1"/>
  <c r="AH58" i="8" a="1"/>
  <c r="AH58" i="8" s="1"/>
  <c r="AH61" i="8" a="1"/>
  <c r="AH61" i="8" s="1"/>
  <c r="AH55" i="8" a="1"/>
  <c r="AH55" i="8" s="1"/>
  <c r="AH53" i="8" a="1"/>
  <c r="AH53" i="8" s="1"/>
  <c r="AH52" i="8" a="1"/>
  <c r="AH52" i="8" s="1"/>
  <c r="AH60" i="8" a="1"/>
  <c r="AH60" i="8" s="1"/>
  <c r="AH56" i="8" a="1"/>
  <c r="AH56" i="8" s="1"/>
  <c r="AH54" i="8" a="1"/>
  <c r="AH54" i="8" s="1"/>
  <c r="AH57" i="8" a="1"/>
  <c r="AH57" i="8" s="1"/>
  <c r="AH59" i="8" a="1"/>
  <c r="AH59" i="8" s="1"/>
  <c r="AW56" i="8" a="1"/>
  <c r="AW56" i="8" s="1"/>
  <c r="AW55" i="8" a="1"/>
  <c r="AW55" i="8" s="1"/>
  <c r="AW59" i="8" a="1"/>
  <c r="AW59" i="8" s="1"/>
  <c r="AW54" i="8" a="1"/>
  <c r="AW54" i="8" s="1"/>
  <c r="AW53" i="8" a="1"/>
  <c r="AW53" i="8" s="1"/>
  <c r="AW61" i="8" a="1"/>
  <c r="AW61" i="8" s="1"/>
  <c r="AW52" i="8" a="1"/>
  <c r="AW52" i="8" s="1"/>
  <c r="AW60" i="8" a="1"/>
  <c r="AW60" i="8" s="1"/>
  <c r="AW57" i="8" a="1"/>
  <c r="AW57" i="8" s="1"/>
  <c r="AW58" i="8" a="1"/>
  <c r="AW58" i="8" s="1"/>
  <c r="AO59" i="8" a="1"/>
  <c r="AO59" i="8" s="1"/>
  <c r="AO60" i="8" a="1"/>
  <c r="AO60" i="8" s="1"/>
  <c r="AO58" i="8" a="1"/>
  <c r="AO58" i="8" s="1"/>
  <c r="AO57" i="8" a="1"/>
  <c r="AO57" i="8" s="1"/>
  <c r="AO56" i="8" a="1"/>
  <c r="AO56" i="8" s="1"/>
  <c r="AO52" i="8" a="1"/>
  <c r="AO52" i="8" s="1"/>
  <c r="AO55" i="8" a="1"/>
  <c r="AO55" i="8" s="1"/>
  <c r="AO61" i="8" a="1"/>
  <c r="AO61" i="8" s="1"/>
  <c r="AO54" i="8" a="1"/>
  <c r="AO54" i="8" s="1"/>
  <c r="AO53" i="8" a="1"/>
  <c r="AO53" i="8" s="1"/>
  <c r="BD60" i="8" a="1"/>
  <c r="BD60" i="8" s="1"/>
  <c r="BD59" i="8" a="1"/>
  <c r="BD59" i="8" s="1"/>
  <c r="BD58" i="8" a="1"/>
  <c r="BD58" i="8" s="1"/>
  <c r="BD57" i="8" a="1"/>
  <c r="BD57" i="8" s="1"/>
  <c r="BD54" i="8" a="1"/>
  <c r="BD54" i="8" s="1"/>
  <c r="BD56" i="8" a="1"/>
  <c r="BD56" i="8" s="1"/>
  <c r="BD55" i="8" a="1"/>
  <c r="BD55" i="8" s="1"/>
  <c r="BD53" i="8" a="1"/>
  <c r="BD53" i="8" s="1"/>
  <c r="BD61" i="8" a="1"/>
  <c r="BD61" i="8" s="1"/>
  <c r="BD52" i="8" a="1"/>
  <c r="BD52" i="8" s="1"/>
  <c r="AV60" i="8" a="1"/>
  <c r="AV60" i="8" s="1"/>
  <c r="AV57" i="8" a="1"/>
  <c r="AV57" i="8" s="1"/>
  <c r="AV56" i="8" a="1"/>
  <c r="AV56" i="8" s="1"/>
  <c r="AV55" i="8" a="1"/>
  <c r="AV55" i="8" s="1"/>
  <c r="AV61" i="8" a="1"/>
  <c r="AV61" i="8" s="1"/>
  <c r="AV54" i="8" a="1"/>
  <c r="AV54" i="8" s="1"/>
  <c r="AV53" i="8" a="1"/>
  <c r="AV53" i="8" s="1"/>
  <c r="AV52" i="8" a="1"/>
  <c r="AV52" i="8" s="1"/>
  <c r="AV59" i="8" a="1"/>
  <c r="AV59" i="8" s="1"/>
  <c r="AV58" i="8" a="1"/>
  <c r="AV58" i="8" s="1"/>
  <c r="AN60" i="8" a="1"/>
  <c r="AN60" i="8" s="1"/>
  <c r="AN61" i="8" a="1"/>
  <c r="AN61" i="8" s="1"/>
  <c r="AN59" i="8" a="1"/>
  <c r="AN59" i="8" s="1"/>
  <c r="AN58" i="8" a="1"/>
  <c r="AN58" i="8" s="1"/>
  <c r="AN53" i="8" a="1"/>
  <c r="AN53" i="8" s="1"/>
  <c r="AN56" i="8" a="1"/>
  <c r="AN56" i="8" s="1"/>
  <c r="AN55" i="8" a="1"/>
  <c r="AN55" i="8" s="1"/>
  <c r="AN57" i="8" a="1"/>
  <c r="AN57" i="8" s="1"/>
  <c r="AN54" i="8" a="1"/>
  <c r="AN54" i="8" s="1"/>
  <c r="AN52" i="8" a="1"/>
  <c r="AN52" i="8" s="1"/>
  <c r="BB55" i="8" a="1"/>
  <c r="BB55" i="8" s="1"/>
  <c r="BB54" i="8" a="1"/>
  <c r="BB54" i="8" s="1"/>
  <c r="BB56" i="8" a="1"/>
  <c r="BB56" i="8" s="1"/>
  <c r="BB53" i="8" a="1"/>
  <c r="BB53" i="8" s="1"/>
  <c r="BB61" i="8" a="1"/>
  <c r="BB61" i="8" s="1"/>
  <c r="BB60" i="8" a="1"/>
  <c r="BB60" i="8" s="1"/>
  <c r="BB59" i="8" a="1"/>
  <c r="BB59" i="8" s="1"/>
  <c r="BB57" i="8" a="1"/>
  <c r="BB57" i="8" s="1"/>
  <c r="BB52" i="8" a="1"/>
  <c r="BB52" i="8" s="1"/>
  <c r="BB58" i="8" a="1"/>
  <c r="BB58" i="8" s="1"/>
  <c r="AT53" i="8" a="1"/>
  <c r="AT53" i="8" s="1"/>
  <c r="AT55" i="8" a="1"/>
  <c r="AT55" i="8" s="1"/>
  <c r="AT61" i="8" a="1"/>
  <c r="AT61" i="8" s="1"/>
  <c r="AT52" i="8" a="1"/>
  <c r="AT52" i="8" s="1"/>
  <c r="AT54" i="8" a="1"/>
  <c r="AT54" i="8" s="1"/>
  <c r="AT59" i="8" a="1"/>
  <c r="AT59" i="8" s="1"/>
  <c r="AT57" i="8" a="1"/>
  <c r="AT57" i="8" s="1"/>
  <c r="AT60" i="8" a="1"/>
  <c r="AT60" i="8" s="1"/>
  <c r="AT56" i="8" a="1"/>
  <c r="AT56" i="8" s="1"/>
  <c r="AT58" i="8" a="1"/>
  <c r="AT58" i="8" s="1"/>
  <c r="BA56" i="8" a="1"/>
  <c r="BA56" i="8" s="1"/>
  <c r="BA53" i="8" a="1"/>
  <c r="BA53" i="8" s="1"/>
  <c r="BA52" i="8" a="1"/>
  <c r="BA52" i="8" s="1"/>
  <c r="BA61" i="8" a="1"/>
  <c r="BA61" i="8" s="1"/>
  <c r="BA55" i="8" a="1"/>
  <c r="BA55" i="8" s="1"/>
  <c r="BA60" i="8" a="1"/>
  <c r="BA60" i="8" s="1"/>
  <c r="BA54" i="8" a="1"/>
  <c r="BA54" i="8" s="1"/>
  <c r="BA59" i="8" a="1"/>
  <c r="BA59" i="8" s="1"/>
  <c r="BA58" i="8" a="1"/>
  <c r="BA58" i="8" s="1"/>
  <c r="BA57" i="8" a="1"/>
  <c r="BA57" i="8" s="1"/>
  <c r="AS59" i="8" a="1"/>
  <c r="AS59" i="8" s="1"/>
  <c r="AS52" i="8" a="1"/>
  <c r="AS52" i="8" s="1"/>
  <c r="AS58" i="8" a="1"/>
  <c r="AS58" i="8" s="1"/>
  <c r="AS57" i="8" a="1"/>
  <c r="AS57" i="8" s="1"/>
  <c r="AS55" i="8" a="1"/>
  <c r="AS55" i="8" s="1"/>
  <c r="AS56" i="8" a="1"/>
  <c r="AS56" i="8" s="1"/>
  <c r="AS53" i="8" a="1"/>
  <c r="AS53" i="8" s="1"/>
  <c r="AS54" i="8" a="1"/>
  <c r="AS54" i="8" s="1"/>
  <c r="AS61" i="8" a="1"/>
  <c r="AS61" i="8" s="1"/>
  <c r="AS60" i="8" a="1"/>
  <c r="AS60" i="8" s="1"/>
  <c r="AZ60" i="8" a="1"/>
  <c r="AZ60" i="8" s="1"/>
  <c r="AZ58" i="8" a="1"/>
  <c r="AZ58" i="8" s="1"/>
  <c r="AZ61" i="8" a="1"/>
  <c r="AZ61" i="8" s="1"/>
  <c r="AZ57" i="8" a="1"/>
  <c r="AZ57" i="8" s="1"/>
  <c r="AZ56" i="8" a="1"/>
  <c r="AZ56" i="8" s="1"/>
  <c r="AZ54" i="8" a="1"/>
  <c r="AZ54" i="8" s="1"/>
  <c r="AZ55" i="8" a="1"/>
  <c r="AZ55" i="8" s="1"/>
  <c r="AZ53" i="8" a="1"/>
  <c r="AZ53" i="8" s="1"/>
  <c r="AZ52" i="8" a="1"/>
  <c r="AZ52" i="8" s="1"/>
  <c r="AZ59" i="8" a="1"/>
  <c r="AZ59" i="8" s="1"/>
  <c r="AR60" i="8" a="1"/>
  <c r="AR60" i="8" s="1"/>
  <c r="AR54" i="8" a="1"/>
  <c r="AR54" i="8" s="1"/>
  <c r="AR55" i="8" a="1"/>
  <c r="AR55" i="8" s="1"/>
  <c r="AR52" i="8" a="1"/>
  <c r="AR52" i="8" s="1"/>
  <c r="AR53" i="8" a="1"/>
  <c r="AR53" i="8" s="1"/>
  <c r="AR61" i="8" a="1"/>
  <c r="AR61" i="8" s="1"/>
  <c r="AR57" i="8" a="1"/>
  <c r="AR57" i="8" s="1"/>
  <c r="AR59" i="8" a="1"/>
  <c r="AR59" i="8" s="1"/>
  <c r="AR58" i="8" a="1"/>
  <c r="AR58" i="8" s="1"/>
  <c r="AR56" i="8" a="1"/>
  <c r="AR56" i="8" s="1"/>
  <c r="AJ60" i="8" a="1"/>
  <c r="AJ60" i="8" s="1"/>
  <c r="AJ57" i="8" a="1"/>
  <c r="AJ57" i="8" s="1"/>
  <c r="AJ61" i="8" a="1"/>
  <c r="AJ61" i="8" s="1"/>
  <c r="AJ59" i="8" a="1"/>
  <c r="AJ59" i="8" s="1"/>
  <c r="AJ58" i="8" a="1"/>
  <c r="AJ58" i="8" s="1"/>
  <c r="AJ54" i="8" a="1"/>
  <c r="AJ54" i="8" s="1"/>
  <c r="AJ55" i="8" a="1"/>
  <c r="AJ55" i="8" s="1"/>
  <c r="AJ52" i="8" a="1"/>
  <c r="AJ52" i="8" s="1"/>
  <c r="AJ56" i="8" a="1"/>
  <c r="AJ56" i="8" s="1"/>
  <c r="AJ53" i="8" a="1"/>
  <c r="AJ53" i="8" s="1"/>
  <c r="AY59" i="8" a="1"/>
  <c r="AY59" i="8" s="1"/>
  <c r="AY57" i="8" a="1"/>
  <c r="AY57" i="8" s="1"/>
  <c r="AY52" i="8" a="1"/>
  <c r="AY52" i="8" s="1"/>
  <c r="AY55" i="8" a="1"/>
  <c r="AY55" i="8" s="1"/>
  <c r="AY58" i="8" a="1"/>
  <c r="AY58" i="8" s="1"/>
  <c r="AY60" i="8" a="1"/>
  <c r="AY60" i="8" s="1"/>
  <c r="AY61" i="8" a="1"/>
  <c r="AY61" i="8" s="1"/>
  <c r="AY56" i="8" a="1"/>
  <c r="AY56" i="8" s="1"/>
  <c r="AY54" i="8" a="1"/>
  <c r="AY54" i="8" s="1"/>
  <c r="AY53" i="8" a="1"/>
  <c r="AY53" i="8" s="1"/>
  <c r="AQ55" i="8" a="1"/>
  <c r="AQ55" i="8" s="1"/>
  <c r="AQ58" i="8" a="1"/>
  <c r="AQ58" i="8" s="1"/>
  <c r="AQ60" i="8" a="1"/>
  <c r="AQ60" i="8" s="1"/>
  <c r="AQ54" i="8" a="1"/>
  <c r="AQ54" i="8" s="1"/>
  <c r="AQ56" i="8" a="1"/>
  <c r="AQ56" i="8" s="1"/>
  <c r="AQ53" i="8" a="1"/>
  <c r="AQ53" i="8" s="1"/>
  <c r="AQ61" i="8" a="1"/>
  <c r="AQ61" i="8" s="1"/>
  <c r="AQ57" i="8" a="1"/>
  <c r="AQ57" i="8" s="1"/>
  <c r="AQ59" i="8" a="1"/>
  <c r="AQ59" i="8" s="1"/>
  <c r="AQ52" i="8" a="1"/>
  <c r="AQ52" i="8" s="1"/>
  <c r="AI61" i="8" a="1"/>
  <c r="AI61" i="8" s="1"/>
  <c r="AI55" i="8" a="1"/>
  <c r="AI55" i="8" s="1"/>
  <c r="AI60" i="8" a="1"/>
  <c r="AI60" i="8" s="1"/>
  <c r="AI56" i="8" a="1"/>
  <c r="AI56" i="8" s="1"/>
  <c r="AI58" i="8" a="1"/>
  <c r="AI58" i="8" s="1"/>
  <c r="AI57" i="8" a="1"/>
  <c r="AI57" i="8" s="1"/>
  <c r="AI53" i="8" a="1"/>
  <c r="AI53" i="8" s="1"/>
  <c r="AI52" i="8" a="1"/>
  <c r="AI52" i="8" s="1"/>
  <c r="AI54" i="8" a="1"/>
  <c r="AI54" i="8" s="1"/>
  <c r="AI59" i="8" a="1"/>
  <c r="AI59" i="8" s="1"/>
  <c r="BC61" i="8" a="1"/>
  <c r="BC61" i="8" s="1"/>
  <c r="BC52" i="8" a="1"/>
  <c r="BC52" i="8" s="1"/>
  <c r="BC54" i="8" a="1"/>
  <c r="BC54" i="8" s="1"/>
  <c r="BC59" i="8" a="1"/>
  <c r="BC59" i="8" s="1"/>
  <c r="BC60" i="8" a="1"/>
  <c r="BC60" i="8" s="1"/>
  <c r="BC58" i="8" a="1"/>
  <c r="BC58" i="8" s="1"/>
  <c r="BC57" i="8" a="1"/>
  <c r="BC57" i="8" s="1"/>
  <c r="BC56" i="8" a="1"/>
  <c r="BC56" i="8" s="1"/>
  <c r="BC55" i="8" a="1"/>
  <c r="BC55" i="8" s="1"/>
  <c r="BC53" i="8" a="1"/>
  <c r="BC53" i="8" s="1"/>
  <c r="AU53" i="8" a="1"/>
  <c r="AU53" i="8" s="1"/>
  <c r="AU61" i="8" a="1"/>
  <c r="AU61" i="8" s="1"/>
  <c r="AU52" i="8" a="1"/>
  <c r="AU52" i="8" s="1"/>
  <c r="AU60" i="8" a="1"/>
  <c r="AU60" i="8" s="1"/>
  <c r="AU59" i="8" a="1"/>
  <c r="AU59" i="8" s="1"/>
  <c r="AU55" i="8" a="1"/>
  <c r="AU55" i="8" s="1"/>
  <c r="AU58" i="8" a="1"/>
  <c r="AU58" i="8" s="1"/>
  <c r="AU56" i="8" a="1"/>
  <c r="AU56" i="8" s="1"/>
  <c r="AU57" i="8" a="1"/>
  <c r="AU57" i="8" s="1"/>
  <c r="AU54" i="8" a="1"/>
  <c r="AU54" i="8" s="1"/>
  <c r="AM61" i="8" a="1"/>
  <c r="AM61" i="8" s="1"/>
  <c r="AM52" i="8" a="1"/>
  <c r="AM52" i="8" s="1"/>
  <c r="AM55" i="8" a="1"/>
  <c r="AM55" i="8" s="1"/>
  <c r="AM59" i="8" a="1"/>
  <c r="AM59" i="8" s="1"/>
  <c r="AM60" i="8" a="1"/>
  <c r="AM60" i="8" s="1"/>
  <c r="AM57" i="8" a="1"/>
  <c r="AM57" i="8" s="1"/>
  <c r="AM56" i="8" a="1"/>
  <c r="AM56" i="8" s="1"/>
  <c r="AM54" i="8" a="1"/>
  <c r="AM54" i="8" s="1"/>
  <c r="AM58" i="8" a="1"/>
  <c r="AM58" i="8" s="1"/>
  <c r="AM53" i="8" a="1"/>
  <c r="AM53" i="8" s="1"/>
  <c r="AG55" i="8" a="1"/>
  <c r="AG55" i="8" s="1"/>
  <c r="AG56" i="8" a="1"/>
  <c r="AG56" i="8" s="1"/>
  <c r="AG60" i="8" a="1"/>
  <c r="AG60" i="8" s="1"/>
  <c r="AG58" i="8" a="1"/>
  <c r="AG58" i="8" s="1"/>
  <c r="AG59" i="8" a="1"/>
  <c r="AG59" i="8" s="1"/>
  <c r="AG57" i="8" a="1"/>
  <c r="AG57" i="8" s="1"/>
  <c r="AG53" i="8" a="1"/>
  <c r="AG53" i="8" s="1"/>
  <c r="AG61" i="8" a="1"/>
  <c r="AG61" i="8" s="1"/>
  <c r="AG52" i="8" a="1"/>
  <c r="AG52" i="8" s="1"/>
  <c r="AG54" i="8" a="1"/>
  <c r="AG54" i="8" s="1"/>
  <c r="T209" i="5"/>
  <c r="AC26" i="8"/>
  <c r="AD26" i="8"/>
  <c r="AE26" i="8"/>
  <c r="AF90" i="8"/>
  <c r="AF96" i="8"/>
  <c r="F4" i="15" l="1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F350" i="15"/>
  <c r="F351" i="15"/>
  <c r="F352" i="15"/>
  <c r="F353" i="15"/>
  <c r="F354" i="15"/>
  <c r="F355" i="15"/>
  <c r="F356" i="15"/>
  <c r="F357" i="15"/>
  <c r="F358" i="15"/>
  <c r="F359" i="15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B17" i="16"/>
  <c r="AM72" i="8" l="1" a="1"/>
  <c r="AM72" i="8" s="1"/>
  <c r="AO73" i="8" a="1"/>
  <c r="AO73" i="8" s="1"/>
  <c r="AW73" i="8" a="1"/>
  <c r="AW73" i="8" s="1"/>
  <c r="BC73" i="8" a="1"/>
  <c r="BC73" i="8" s="1"/>
  <c r="BD73" i="8" a="1"/>
  <c r="BD73" i="8" s="1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58" i="5"/>
  <c r="W4" i="5"/>
  <c r="S62" i="8"/>
  <c r="AE62" i="8"/>
  <c r="X62" i="8"/>
  <c r="R62" i="8"/>
  <c r="AD62" i="8"/>
  <c r="R46" i="8"/>
  <c r="AI4" i="8"/>
  <c r="AJ4" i="8"/>
  <c r="AK4" i="8"/>
  <c r="AL4" i="8"/>
  <c r="AM4" i="8"/>
  <c r="AN4" i="8"/>
  <c r="AM73" i="8" s="1" a="1"/>
  <c r="AM73" i="8" s="1"/>
  <c r="AO4" i="8"/>
  <c r="AN72" i="8" s="1" a="1"/>
  <c r="AN72" i="8" s="1"/>
  <c r="AP4" i="8"/>
  <c r="AQ4" i="8"/>
  <c r="AR4" i="8"/>
  <c r="AS4" i="8"/>
  <c r="AT4" i="8"/>
  <c r="AU4" i="8"/>
  <c r="AV4" i="8"/>
  <c r="AU71" i="8" s="1" a="1"/>
  <c r="AU71" i="8" s="1"/>
  <c r="AW4" i="8"/>
  <c r="AV73" i="8" s="1" a="1"/>
  <c r="AV73" i="8" s="1"/>
  <c r="AX4" i="8"/>
  <c r="AY4" i="8"/>
  <c r="AZ4" i="8"/>
  <c r="BA4" i="8"/>
  <c r="BB4" i="8"/>
  <c r="BC4" i="8"/>
  <c r="BB72" i="8" s="1" a="1"/>
  <c r="BB72" i="8" s="1"/>
  <c r="BD4" i="8"/>
  <c r="BC72" i="8" s="1" a="1"/>
  <c r="BC72" i="8" s="1"/>
  <c r="BE4" i="8"/>
  <c r="BD72" i="8" s="1" a="1"/>
  <c r="BD72" i="8" s="1"/>
  <c r="BF4" i="8"/>
  <c r="C15" i="16"/>
  <c r="C10" i="16"/>
  <c r="C13" i="16"/>
  <c r="C11" i="16"/>
  <c r="C7" i="16"/>
  <c r="C12" i="16"/>
  <c r="C9" i="16"/>
  <c r="C8" i="16"/>
  <c r="C14" i="16"/>
  <c r="C16" i="16"/>
  <c r="AL68" i="8" l="1" a="1"/>
  <c r="AL68" i="8" s="1"/>
  <c r="AK69" i="8" a="1"/>
  <c r="AK69" i="8" s="1"/>
  <c r="BB73" i="8" a="1"/>
  <c r="BB73" i="8" s="1"/>
  <c r="AP70" i="8" a="1"/>
  <c r="AP70" i="8" s="1"/>
  <c r="BC71" i="8" a="1"/>
  <c r="BC71" i="8" s="1"/>
  <c r="AW71" i="8" a="1"/>
  <c r="AW71" i="8" s="1"/>
  <c r="AO69" i="8" a="1"/>
  <c r="AO69" i="8" s="1"/>
  <c r="BB71" i="8" a="1"/>
  <c r="BB71" i="8" s="1"/>
  <c r="BD68" i="8" a="1"/>
  <c r="BD68" i="8" s="1"/>
  <c r="AV70" i="8" a="1"/>
  <c r="AV70" i="8" s="1"/>
  <c r="AN70" i="8" a="1"/>
  <c r="AN70" i="8" s="1"/>
  <c r="AU73" i="8" a="1"/>
  <c r="AU73" i="8" s="1"/>
  <c r="BB68" i="8" a="1"/>
  <c r="BB68" i="8" s="1"/>
  <c r="AT68" i="8" a="1"/>
  <c r="AT68" i="8" s="1"/>
  <c r="BA69" i="8" a="1"/>
  <c r="BA69" i="8" s="1"/>
  <c r="AS69" i="8" a="1"/>
  <c r="AS69" i="8" s="1"/>
  <c r="AZ72" i="8" a="1"/>
  <c r="AZ72" i="8" s="1"/>
  <c r="AJ72" i="8" a="1"/>
  <c r="AJ72" i="8" s="1"/>
  <c r="AY68" i="8" a="1"/>
  <c r="AY68" i="8" s="1"/>
  <c r="AQ68" i="8" a="1"/>
  <c r="AQ68" i="8" s="1"/>
  <c r="AI73" i="8" a="1"/>
  <c r="AI73" i="8" s="1"/>
  <c r="AL73" i="8" a="1"/>
  <c r="AL73" i="8" s="1"/>
  <c r="BC68" i="8" a="1"/>
  <c r="BC68" i="8" s="1"/>
  <c r="AU68" i="8" a="1"/>
  <c r="AU68" i="8" s="1"/>
  <c r="AM68" i="8" a="1"/>
  <c r="AM68" i="8" s="1"/>
  <c r="AT73" i="8" a="1"/>
  <c r="AT73" i="8" s="1"/>
  <c r="AV72" i="8" a="1"/>
  <c r="AV72" i="8" s="1"/>
  <c r="AT71" i="8" a="1"/>
  <c r="AT71" i="8" s="1"/>
  <c r="AU72" i="8" a="1"/>
  <c r="AU72" i="8" s="1"/>
  <c r="AM71" i="8" a="1"/>
  <c r="AM71" i="8" s="1"/>
  <c r="AN73" i="8" a="1"/>
  <c r="AN73" i="8" s="1"/>
  <c r="AT72" i="8" a="1"/>
  <c r="AT72" i="8" s="1"/>
  <c r="BB70" i="8" a="1"/>
  <c r="BB70" i="8" s="1"/>
  <c r="C17" i="16"/>
  <c r="AS24" i="8"/>
  <c r="AS12" i="8"/>
  <c r="AS19" i="8"/>
  <c r="AS7" i="8"/>
  <c r="AS22" i="8"/>
  <c r="AS10" i="8"/>
  <c r="AS25" i="8"/>
  <c r="AS13" i="8"/>
  <c r="AS20" i="8"/>
  <c r="AS8" i="8"/>
  <c r="AS14" i="8"/>
  <c r="AS23" i="8"/>
  <c r="AS9" i="8"/>
  <c r="AS6" i="8"/>
  <c r="AS18" i="8"/>
  <c r="AS21" i="8"/>
  <c r="AS11" i="8"/>
  <c r="AY22" i="8"/>
  <c r="AY10" i="8"/>
  <c r="AY25" i="8"/>
  <c r="AY13" i="8"/>
  <c r="AY20" i="8"/>
  <c r="AY8" i="8"/>
  <c r="AY23" i="8"/>
  <c r="AY11" i="8"/>
  <c r="AY18" i="8"/>
  <c r="AY6" i="8"/>
  <c r="AY14" i="8"/>
  <c r="AY21" i="8"/>
  <c r="AY7" i="8"/>
  <c r="AY24" i="8"/>
  <c r="AY12" i="8"/>
  <c r="AY19" i="8"/>
  <c r="AY9" i="8"/>
  <c r="AI22" i="8"/>
  <c r="AI10" i="8"/>
  <c r="AI25" i="8"/>
  <c r="AI13" i="8"/>
  <c r="AI20" i="8"/>
  <c r="AI8" i="8"/>
  <c r="AI23" i="8"/>
  <c r="AI11" i="8"/>
  <c r="AI18" i="8"/>
  <c r="AI6" i="8"/>
  <c r="AI14" i="8"/>
  <c r="AI24" i="8"/>
  <c r="AI7" i="8"/>
  <c r="AI12" i="8"/>
  <c r="AI21" i="8"/>
  <c r="AI19" i="8"/>
  <c r="AI9" i="8"/>
  <c r="AK72" i="8" a="1"/>
  <c r="AK72" i="8" s="1"/>
  <c r="AZ71" i="8" a="1"/>
  <c r="AZ71" i="8" s="1"/>
  <c r="AR71" i="8" a="1"/>
  <c r="AR71" i="8" s="1"/>
  <c r="AJ71" i="8" a="1"/>
  <c r="AJ71" i="8" s="1"/>
  <c r="AY70" i="8" a="1"/>
  <c r="AY70" i="8" s="1"/>
  <c r="AQ70" i="8" a="1"/>
  <c r="AQ70" i="8" s="1"/>
  <c r="AI70" i="8" a="1"/>
  <c r="AI70" i="8" s="1"/>
  <c r="AX69" i="8" a="1"/>
  <c r="AX69" i="8" s="1"/>
  <c r="AP69" i="8" a="1"/>
  <c r="AP69" i="8" s="1"/>
  <c r="AH69" i="8" a="1"/>
  <c r="AH69" i="8" s="1"/>
  <c r="AW68" i="8" a="1"/>
  <c r="AW68" i="8" s="1"/>
  <c r="AO68" i="8" a="1"/>
  <c r="AO68" i="8" s="1"/>
  <c r="BD67" i="8" a="1"/>
  <c r="BD67" i="8" s="1"/>
  <c r="AV67" i="8" a="1"/>
  <c r="AV67" i="8" s="1"/>
  <c r="AN67" i="8" a="1"/>
  <c r="AN67" i="8" s="1"/>
  <c r="BC66" i="8" a="1"/>
  <c r="BC66" i="8" s="1"/>
  <c r="AU66" i="8" a="1"/>
  <c r="AU66" i="8" s="1"/>
  <c r="AM66" i="8" a="1"/>
  <c r="AM66" i="8" s="1"/>
  <c r="BA73" i="8" a="1"/>
  <c r="BA73" i="8" s="1"/>
  <c r="AS73" i="8" a="1"/>
  <c r="AS73" i="8" s="1"/>
  <c r="AK73" i="8" a="1"/>
  <c r="AK73" i="8" s="1"/>
  <c r="AR72" i="8" a="1"/>
  <c r="AR72" i="8" s="1"/>
  <c r="AY71" i="8" a="1"/>
  <c r="AY71" i="8" s="1"/>
  <c r="AQ71" i="8" a="1"/>
  <c r="AQ71" i="8" s="1"/>
  <c r="AI71" i="8" a="1"/>
  <c r="AI71" i="8" s="1"/>
  <c r="AX70" i="8" a="1"/>
  <c r="AX70" i="8" s="1"/>
  <c r="AH70" i="8" a="1"/>
  <c r="AH70" i="8" s="1"/>
  <c r="AW69" i="8" a="1"/>
  <c r="AW69" i="8" s="1"/>
  <c r="AV68" i="8" a="1"/>
  <c r="AV68" i="8" s="1"/>
  <c r="AN68" i="8" a="1"/>
  <c r="AN68" i="8" s="1"/>
  <c r="BC67" i="8" a="1"/>
  <c r="BC67" i="8" s="1"/>
  <c r="AU67" i="8" a="1"/>
  <c r="AU67" i="8" s="1"/>
  <c r="AM67" i="8" a="1"/>
  <c r="AM67" i="8" s="1"/>
  <c r="BB66" i="8" a="1"/>
  <c r="BB66" i="8" s="1"/>
  <c r="AT66" i="8" a="1"/>
  <c r="AT66" i="8" s="1"/>
  <c r="AL66" i="8" a="1"/>
  <c r="AL66" i="8" s="1"/>
  <c r="BA24" i="8"/>
  <c r="BA12" i="8"/>
  <c r="BA19" i="8"/>
  <c r="BA7" i="8"/>
  <c r="BA22" i="8"/>
  <c r="BA10" i="8"/>
  <c r="BA25" i="8"/>
  <c r="BA13" i="8"/>
  <c r="BA20" i="8"/>
  <c r="BA8" i="8"/>
  <c r="BA14" i="8"/>
  <c r="BA6" i="8"/>
  <c r="BA21" i="8"/>
  <c r="BA11" i="8"/>
  <c r="BA18" i="8"/>
  <c r="BA23" i="8"/>
  <c r="BA9" i="8"/>
  <c r="AK24" i="8"/>
  <c r="AK12" i="8"/>
  <c r="AK19" i="8"/>
  <c r="AK7" i="8"/>
  <c r="AK22" i="8"/>
  <c r="AK10" i="8"/>
  <c r="AK25" i="8"/>
  <c r="AK13" i="8"/>
  <c r="AK20" i="8"/>
  <c r="AK8" i="8"/>
  <c r="AK6" i="8"/>
  <c r="AK9" i="8"/>
  <c r="AK11" i="8"/>
  <c r="AK14" i="8"/>
  <c r="AK23" i="8"/>
  <c r="AK21" i="8"/>
  <c r="AK18" i="8"/>
  <c r="AQ22" i="8"/>
  <c r="AQ10" i="8"/>
  <c r="AQ25" i="8"/>
  <c r="AQ13" i="8"/>
  <c r="AQ20" i="8"/>
  <c r="AQ8" i="8"/>
  <c r="AQ23" i="8"/>
  <c r="AQ11" i="8"/>
  <c r="AQ18" i="8"/>
  <c r="AQ6" i="8"/>
  <c r="AQ14" i="8"/>
  <c r="AQ12" i="8"/>
  <c r="AQ7" i="8"/>
  <c r="AQ19" i="8"/>
  <c r="AQ9" i="8"/>
  <c r="AQ24" i="8"/>
  <c r="AQ21" i="8"/>
  <c r="AS72" i="8" a="1"/>
  <c r="AS72" i="8" s="1"/>
  <c r="AP25" i="8"/>
  <c r="AP13" i="8"/>
  <c r="AP20" i="8"/>
  <c r="AP8" i="8"/>
  <c r="AP23" i="8"/>
  <c r="AP11" i="8"/>
  <c r="AP18" i="8"/>
  <c r="AP6" i="8"/>
  <c r="AP14" i="8"/>
  <c r="AP21" i="8"/>
  <c r="AP9" i="8"/>
  <c r="AP12" i="8"/>
  <c r="AP19" i="8"/>
  <c r="AP10" i="8"/>
  <c r="AP7" i="8"/>
  <c r="AP24" i="8"/>
  <c r="AP22" i="8"/>
  <c r="BE20" i="8"/>
  <c r="BE8" i="8"/>
  <c r="BE23" i="8"/>
  <c r="BE11" i="8"/>
  <c r="BE18" i="8"/>
  <c r="BE6" i="8"/>
  <c r="BE14" i="8"/>
  <c r="BE21" i="8"/>
  <c r="BE9" i="8"/>
  <c r="BE24" i="8"/>
  <c r="BE12" i="8"/>
  <c r="BE13" i="8"/>
  <c r="BE19" i="8"/>
  <c r="BE10" i="8"/>
  <c r="BE7" i="8"/>
  <c r="BE25" i="8"/>
  <c r="BE22" i="8"/>
  <c r="AW70" i="8" a="1"/>
  <c r="AW70" i="8" s="1"/>
  <c r="AO70" i="8" a="1"/>
  <c r="AO70" i="8" s="1"/>
  <c r="BD69" i="8" a="1"/>
  <c r="BD69" i="8" s="1"/>
  <c r="AV69" i="8" a="1"/>
  <c r="AV69" i="8" s="1"/>
  <c r="AN69" i="8" a="1"/>
  <c r="AN69" i="8" s="1"/>
  <c r="BB67" i="8" a="1"/>
  <c r="BB67" i="8" s="1"/>
  <c r="AT67" i="8" a="1"/>
  <c r="AT67" i="8" s="1"/>
  <c r="AL67" i="8" a="1"/>
  <c r="AL67" i="8" s="1"/>
  <c r="BA66" i="8" a="1"/>
  <c r="BA66" i="8" s="1"/>
  <c r="AS66" i="8" a="1"/>
  <c r="AS66" i="8" s="1"/>
  <c r="AK66" i="8" a="1"/>
  <c r="AK66" i="8" s="1"/>
  <c r="AZ73" i="8" a="1"/>
  <c r="AZ73" i="8" s="1"/>
  <c r="AR73" i="8" a="1"/>
  <c r="AR73" i="8" s="1"/>
  <c r="AJ73" i="8" a="1"/>
  <c r="AJ73" i="8" s="1"/>
  <c r="AY72" i="8" a="1"/>
  <c r="AY72" i="8" s="1"/>
  <c r="AQ72" i="8" a="1"/>
  <c r="AQ72" i="8" s="1"/>
  <c r="AI72" i="8" a="1"/>
  <c r="AI72" i="8" s="1"/>
  <c r="AX71" i="8" a="1"/>
  <c r="AX71" i="8" s="1"/>
  <c r="AP71" i="8" a="1"/>
  <c r="AP71" i="8" s="1"/>
  <c r="AH71" i="8" a="1"/>
  <c r="AH71" i="8" s="1"/>
  <c r="BD23" i="8"/>
  <c r="BD11" i="8"/>
  <c r="BD18" i="8"/>
  <c r="BD6" i="8"/>
  <c r="BD21" i="8"/>
  <c r="BD9" i="8"/>
  <c r="BD24" i="8"/>
  <c r="BD12" i="8"/>
  <c r="BD19" i="8"/>
  <c r="BD7" i="8"/>
  <c r="BD20" i="8"/>
  <c r="BD10" i="8"/>
  <c r="BD13" i="8"/>
  <c r="BD25" i="8"/>
  <c r="BD14" i="8"/>
  <c r="BD8" i="8"/>
  <c r="BD22" i="8"/>
  <c r="AV23" i="8"/>
  <c r="AV11" i="8"/>
  <c r="AV18" i="8"/>
  <c r="AV6" i="8"/>
  <c r="AV21" i="8"/>
  <c r="AV9" i="8"/>
  <c r="AV24" i="8"/>
  <c r="AV12" i="8"/>
  <c r="AV19" i="8"/>
  <c r="AV7" i="8"/>
  <c r="AV22" i="8"/>
  <c r="AV14" i="8"/>
  <c r="AV13" i="8"/>
  <c r="AV10" i="8"/>
  <c r="AV8" i="8"/>
  <c r="AV20" i="8"/>
  <c r="AV25" i="8"/>
  <c r="AN23" i="8"/>
  <c r="AN11" i="8"/>
  <c r="AN18" i="8"/>
  <c r="AN21" i="8"/>
  <c r="AN9" i="8"/>
  <c r="AN24" i="8"/>
  <c r="AN12" i="8"/>
  <c r="AN19" i="8"/>
  <c r="AN7" i="8"/>
  <c r="AN6" i="8"/>
  <c r="AN10" i="8"/>
  <c r="AN25" i="8"/>
  <c r="AN22" i="8"/>
  <c r="AN13" i="8"/>
  <c r="AN20" i="8"/>
  <c r="AN8" i="8"/>
  <c r="AN14" i="8"/>
  <c r="AY73" i="8" a="1"/>
  <c r="AY73" i="8" s="1"/>
  <c r="AQ73" i="8" a="1"/>
  <c r="AQ73" i="8" s="1"/>
  <c r="AX72" i="8" a="1"/>
  <c r="AX72" i="8" s="1"/>
  <c r="AP72" i="8" a="1"/>
  <c r="AP72" i="8" s="1"/>
  <c r="AH72" i="8" a="1"/>
  <c r="AH72" i="8" s="1"/>
  <c r="AO71" i="8" a="1"/>
  <c r="AO71" i="8" s="1"/>
  <c r="BD70" i="8" a="1"/>
  <c r="BD70" i="8" s="1"/>
  <c r="BC69" i="8" a="1"/>
  <c r="BC69" i="8" s="1"/>
  <c r="AU69" i="8" a="1"/>
  <c r="AU69" i="8" s="1"/>
  <c r="AM69" i="8" a="1"/>
  <c r="AM69" i="8" s="1"/>
  <c r="BA67" i="8" a="1"/>
  <c r="BA67" i="8" s="1"/>
  <c r="AS67" i="8" a="1"/>
  <c r="AS67" i="8" s="1"/>
  <c r="AK67" i="8" a="1"/>
  <c r="AK67" i="8" s="1"/>
  <c r="AZ66" i="8" a="1"/>
  <c r="AZ66" i="8" s="1"/>
  <c r="AR66" i="8" a="1"/>
  <c r="AR66" i="8" s="1"/>
  <c r="AJ66" i="8" a="1"/>
  <c r="AJ66" i="8" s="1"/>
  <c r="AJ19" i="8"/>
  <c r="AJ7" i="8"/>
  <c r="AJ22" i="8"/>
  <c r="AJ10" i="8"/>
  <c r="AJ25" i="8"/>
  <c r="AJ13" i="8"/>
  <c r="AJ20" i="8"/>
  <c r="AJ8" i="8"/>
  <c r="AJ23" i="8"/>
  <c r="AJ11" i="8"/>
  <c r="AJ14" i="8"/>
  <c r="AJ6" i="8"/>
  <c r="AJ9" i="8"/>
  <c r="AJ24" i="8"/>
  <c r="AJ21" i="8"/>
  <c r="AJ12" i="8"/>
  <c r="AJ18" i="8"/>
  <c r="BA72" i="8" a="1"/>
  <c r="BA72" i="8" s="1"/>
  <c r="BF25" i="8"/>
  <c r="BF13" i="8"/>
  <c r="BF20" i="8"/>
  <c r="BF8" i="8"/>
  <c r="BF23" i="8"/>
  <c r="BF11" i="8"/>
  <c r="BF18" i="8"/>
  <c r="BF6" i="8"/>
  <c r="BF14" i="8"/>
  <c r="BF21" i="8"/>
  <c r="BF9" i="8"/>
  <c r="BF24" i="8"/>
  <c r="BF22" i="8"/>
  <c r="BF19" i="8"/>
  <c r="BF10" i="8"/>
  <c r="BF12" i="8"/>
  <c r="BF7" i="8"/>
  <c r="AX25" i="8"/>
  <c r="AX13" i="8"/>
  <c r="AX20" i="8"/>
  <c r="AX8" i="8"/>
  <c r="AX23" i="8"/>
  <c r="AX11" i="8"/>
  <c r="AX18" i="8"/>
  <c r="AX6" i="8"/>
  <c r="AX14" i="8"/>
  <c r="AX21" i="8"/>
  <c r="AX9" i="8"/>
  <c r="AX7" i="8"/>
  <c r="AX12" i="8"/>
  <c r="AX22" i="8"/>
  <c r="AX19" i="8"/>
  <c r="AX24" i="8"/>
  <c r="AX10" i="8"/>
  <c r="AW20" i="8"/>
  <c r="AW8" i="8"/>
  <c r="AW23" i="8"/>
  <c r="AW11" i="8"/>
  <c r="AW18" i="8"/>
  <c r="AW6" i="8"/>
  <c r="AW14" i="8"/>
  <c r="AW21" i="8"/>
  <c r="AW9" i="8"/>
  <c r="AW24" i="8"/>
  <c r="AW12" i="8"/>
  <c r="AW25" i="8"/>
  <c r="AW19" i="8"/>
  <c r="AW10" i="8"/>
  <c r="AW22" i="8"/>
  <c r="AW13" i="8"/>
  <c r="AW7" i="8"/>
  <c r="AO20" i="8"/>
  <c r="AO8" i="8"/>
  <c r="AO23" i="8"/>
  <c r="AO11" i="8"/>
  <c r="AO18" i="8"/>
  <c r="AO6" i="8"/>
  <c r="AO14" i="8"/>
  <c r="AO21" i="8"/>
  <c r="AO9" i="8"/>
  <c r="AO24" i="8"/>
  <c r="AO12" i="8"/>
  <c r="AO7" i="8"/>
  <c r="AO25" i="8"/>
  <c r="AO19" i="8"/>
  <c r="AO13" i="8"/>
  <c r="AO10" i="8"/>
  <c r="AO22" i="8"/>
  <c r="BC18" i="8"/>
  <c r="BC6" i="8"/>
  <c r="BC14" i="8"/>
  <c r="BC21" i="8"/>
  <c r="BC9" i="8"/>
  <c r="BC24" i="8"/>
  <c r="BC12" i="8"/>
  <c r="BC19" i="8"/>
  <c r="BC7" i="8"/>
  <c r="BC22" i="8"/>
  <c r="BC10" i="8"/>
  <c r="BC25" i="8"/>
  <c r="BC8" i="8"/>
  <c r="BC23" i="8"/>
  <c r="BC13" i="8"/>
  <c r="BC11" i="8"/>
  <c r="BC20" i="8"/>
  <c r="AU18" i="8"/>
  <c r="AU6" i="8"/>
  <c r="AU14" i="8"/>
  <c r="AU21" i="8"/>
  <c r="AU9" i="8"/>
  <c r="AU24" i="8"/>
  <c r="AU12" i="8"/>
  <c r="AU19" i="8"/>
  <c r="AU7" i="8"/>
  <c r="AU22" i="8"/>
  <c r="AU10" i="8"/>
  <c r="AU11" i="8"/>
  <c r="AU8" i="8"/>
  <c r="AU13" i="8"/>
  <c r="AU20" i="8"/>
  <c r="AU25" i="8"/>
  <c r="AU23" i="8"/>
  <c r="AM18" i="8"/>
  <c r="AM6" i="8"/>
  <c r="AM14" i="8"/>
  <c r="AM21" i="8"/>
  <c r="AM9" i="8"/>
  <c r="AM24" i="8"/>
  <c r="AM12" i="8"/>
  <c r="AM19" i="8"/>
  <c r="AM7" i="8"/>
  <c r="AM22" i="8"/>
  <c r="AM10" i="8"/>
  <c r="AM23" i="8"/>
  <c r="AM13" i="8"/>
  <c r="AM20" i="8"/>
  <c r="AM11" i="8"/>
  <c r="AM8" i="8"/>
  <c r="AM25" i="8"/>
  <c r="AX73" i="8" a="1"/>
  <c r="AX73" i="8" s="1"/>
  <c r="AP73" i="8" a="1"/>
  <c r="AP73" i="8" s="1"/>
  <c r="AH73" i="8" a="1"/>
  <c r="AH73" i="8" s="1"/>
  <c r="AW72" i="8" a="1"/>
  <c r="AW72" i="8" s="1"/>
  <c r="AO72" i="8" a="1"/>
  <c r="AO72" i="8" s="1"/>
  <c r="BD71" i="8" a="1"/>
  <c r="BD71" i="8" s="1"/>
  <c r="AV71" i="8" a="1"/>
  <c r="AV71" i="8" s="1"/>
  <c r="AN71" i="8" a="1"/>
  <c r="AN71" i="8" s="1"/>
  <c r="BC70" i="8" a="1"/>
  <c r="BC70" i="8" s="1"/>
  <c r="AU70" i="8" a="1"/>
  <c r="AU70" i="8" s="1"/>
  <c r="AM70" i="8" a="1"/>
  <c r="AM70" i="8" s="1"/>
  <c r="BB69" i="8" a="1"/>
  <c r="BB69" i="8" s="1"/>
  <c r="AT69" i="8" a="1"/>
  <c r="AT69" i="8" s="1"/>
  <c r="AL69" i="8" a="1"/>
  <c r="AL69" i="8" s="1"/>
  <c r="BA68" i="8" a="1"/>
  <c r="BA68" i="8" s="1"/>
  <c r="AS68" i="8" a="1"/>
  <c r="AS68" i="8" s="1"/>
  <c r="AK68" i="8" a="1"/>
  <c r="AK68" i="8" s="1"/>
  <c r="AZ67" i="8" a="1"/>
  <c r="AZ67" i="8" s="1"/>
  <c r="AR67" i="8" a="1"/>
  <c r="AR67" i="8" s="1"/>
  <c r="AJ67" i="8" a="1"/>
  <c r="AJ67" i="8" s="1"/>
  <c r="AY66" i="8" a="1"/>
  <c r="AY66" i="8" s="1"/>
  <c r="AQ66" i="8" a="1"/>
  <c r="AQ66" i="8" s="1"/>
  <c r="AI66" i="8" a="1"/>
  <c r="AI66" i="8" s="1"/>
  <c r="AT70" i="8" a="1"/>
  <c r="AT70" i="8" s="1"/>
  <c r="AL70" i="8" a="1"/>
  <c r="AL70" i="8" s="1"/>
  <c r="AZ68" i="8" a="1"/>
  <c r="AZ68" i="8" s="1"/>
  <c r="AR68" i="8" a="1"/>
  <c r="AR68" i="8" s="1"/>
  <c r="AJ68" i="8" a="1"/>
  <c r="AJ68" i="8" s="1"/>
  <c r="AY67" i="8" a="1"/>
  <c r="AY67" i="8" s="1"/>
  <c r="AQ67" i="8" a="1"/>
  <c r="AQ67" i="8" s="1"/>
  <c r="AI67" i="8" a="1"/>
  <c r="AI67" i="8" s="1"/>
  <c r="AX66" i="8" a="1"/>
  <c r="AX66" i="8" s="1"/>
  <c r="AP66" i="8" a="1"/>
  <c r="AP66" i="8" s="1"/>
  <c r="AH66" i="8" a="1"/>
  <c r="AH66" i="8" s="1"/>
  <c r="BB21" i="8"/>
  <c r="BB9" i="8"/>
  <c r="BB24" i="8"/>
  <c r="BB12" i="8"/>
  <c r="BB19" i="8"/>
  <c r="BB7" i="8"/>
  <c r="BB22" i="8"/>
  <c r="BB10" i="8"/>
  <c r="BB25" i="8"/>
  <c r="BB13" i="8"/>
  <c r="BB6" i="8"/>
  <c r="BB8" i="8"/>
  <c r="BB23" i="8"/>
  <c r="BB11" i="8"/>
  <c r="BB14" i="8"/>
  <c r="BB20" i="8"/>
  <c r="BB18" i="8"/>
  <c r="AT21" i="8"/>
  <c r="AT9" i="8"/>
  <c r="AT24" i="8"/>
  <c r="AT12" i="8"/>
  <c r="AT19" i="8"/>
  <c r="AT7" i="8"/>
  <c r="AT22" i="8"/>
  <c r="AT10" i="8"/>
  <c r="AT25" i="8"/>
  <c r="AT13" i="8"/>
  <c r="AT18" i="8"/>
  <c r="AT8" i="8"/>
  <c r="AT6" i="8"/>
  <c r="AT11" i="8"/>
  <c r="AT23" i="8"/>
  <c r="AT20" i="8"/>
  <c r="AT14" i="8"/>
  <c r="AL21" i="8"/>
  <c r="AL9" i="8"/>
  <c r="AL24" i="8"/>
  <c r="AL12" i="8"/>
  <c r="AL19" i="8"/>
  <c r="AL7" i="8"/>
  <c r="AL22" i="8"/>
  <c r="AL10" i="8"/>
  <c r="AL25" i="8"/>
  <c r="AL13" i="8"/>
  <c r="AL20" i="8"/>
  <c r="AL14" i="8"/>
  <c r="AL18" i="8"/>
  <c r="AL8" i="8"/>
  <c r="AL6" i="8"/>
  <c r="AL23" i="8"/>
  <c r="AL11" i="8"/>
  <c r="AL71" i="8" a="1"/>
  <c r="AL71" i="8" s="1"/>
  <c r="BA70" i="8" a="1"/>
  <c r="BA70" i="8" s="1"/>
  <c r="AS70" i="8" a="1"/>
  <c r="AS70" i="8" s="1"/>
  <c r="AK70" i="8" a="1"/>
  <c r="AK70" i="8" s="1"/>
  <c r="AZ69" i="8" a="1"/>
  <c r="AZ69" i="8" s="1"/>
  <c r="AR69" i="8" a="1"/>
  <c r="AR69" i="8" s="1"/>
  <c r="AJ69" i="8" a="1"/>
  <c r="AJ69" i="8" s="1"/>
  <c r="AI68" i="8" a="1"/>
  <c r="AI68" i="8" s="1"/>
  <c r="AX67" i="8" a="1"/>
  <c r="AX67" i="8" s="1"/>
  <c r="AP67" i="8" a="1"/>
  <c r="AP67" i="8" s="1"/>
  <c r="AH67" i="8" a="1"/>
  <c r="AH67" i="8" s="1"/>
  <c r="AW66" i="8" a="1"/>
  <c r="AW66" i="8" s="1"/>
  <c r="AO66" i="8" a="1"/>
  <c r="AO66" i="8" s="1"/>
  <c r="AZ19" i="8"/>
  <c r="AZ7" i="8"/>
  <c r="AZ22" i="8"/>
  <c r="AZ10" i="8"/>
  <c r="AZ25" i="8"/>
  <c r="AZ13" i="8"/>
  <c r="AZ20" i="8"/>
  <c r="AZ8" i="8"/>
  <c r="AZ23" i="8"/>
  <c r="AZ11" i="8"/>
  <c r="AZ21" i="8"/>
  <c r="AZ14" i="8"/>
  <c r="AZ9" i="8"/>
  <c r="AZ18" i="8"/>
  <c r="AZ6" i="8"/>
  <c r="AZ12" i="8"/>
  <c r="AZ24" i="8"/>
  <c r="AR19" i="8"/>
  <c r="AR7" i="8"/>
  <c r="AR22" i="8"/>
  <c r="AR10" i="8"/>
  <c r="AR25" i="8"/>
  <c r="AR13" i="8"/>
  <c r="AR20" i="8"/>
  <c r="AR8" i="8"/>
  <c r="AR23" i="8"/>
  <c r="AR11" i="8"/>
  <c r="AR12" i="8"/>
  <c r="AR21" i="8"/>
  <c r="AR9" i="8"/>
  <c r="AR6" i="8"/>
  <c r="AR18" i="8"/>
  <c r="AR24" i="8"/>
  <c r="AR14" i="8"/>
  <c r="AL72" i="8" a="1"/>
  <c r="AL72" i="8" s="1"/>
  <c r="BA71" i="8" a="1"/>
  <c r="BA71" i="8" s="1"/>
  <c r="AS71" i="8" a="1"/>
  <c r="AS71" i="8" s="1"/>
  <c r="AK71" i="8" a="1"/>
  <c r="AK71" i="8" s="1"/>
  <c r="AZ70" i="8" a="1"/>
  <c r="AZ70" i="8" s="1"/>
  <c r="AR70" i="8" a="1"/>
  <c r="AR70" i="8" s="1"/>
  <c r="AJ70" i="8" a="1"/>
  <c r="AJ70" i="8" s="1"/>
  <c r="AY69" i="8" a="1"/>
  <c r="AY69" i="8" s="1"/>
  <c r="AQ69" i="8" a="1"/>
  <c r="AQ69" i="8" s="1"/>
  <c r="AI69" i="8" a="1"/>
  <c r="AI69" i="8" s="1"/>
  <c r="AX68" i="8" a="1"/>
  <c r="AX68" i="8" s="1"/>
  <c r="AP68" i="8" a="1"/>
  <c r="AP68" i="8" s="1"/>
  <c r="AH68" i="8" a="1"/>
  <c r="AH68" i="8" s="1"/>
  <c r="AW67" i="8" a="1"/>
  <c r="AW67" i="8" s="1"/>
  <c r="AO67" i="8" a="1"/>
  <c r="AO67" i="8" s="1"/>
  <c r="BD66" i="8" a="1"/>
  <c r="BD66" i="8" s="1"/>
  <c r="AV66" i="8" a="1"/>
  <c r="AV66" i="8" s="1"/>
  <c r="AN66" i="8" a="1"/>
  <c r="AN66" i="8" s="1"/>
  <c r="U62" i="8"/>
  <c r="AP62" i="8" l="1"/>
  <c r="AM74" i="8"/>
  <c r="BB74" i="8"/>
  <c r="AX62" i="8"/>
  <c r="AR62" i="8"/>
  <c r="AV74" i="8"/>
  <c r="AO74" i="8"/>
  <c r="AY74" i="8"/>
  <c r="AT74" i="8"/>
  <c r="AW74" i="8"/>
  <c r="AR74" i="8"/>
  <c r="AQ74" i="8"/>
  <c r="AL74" i="8"/>
  <c r="AY62" i="8"/>
  <c r="AI74" i="8"/>
  <c r="AK62" i="8"/>
  <c r="AS62" i="8"/>
  <c r="BA62" i="8"/>
  <c r="AX74" i="8"/>
  <c r="BB62" i="8"/>
  <c r="AN62" i="8"/>
  <c r="AV62" i="8"/>
  <c r="AW62" i="8"/>
  <c r="AI62" i="8"/>
  <c r="BC74" i="8"/>
  <c r="AM62" i="8"/>
  <c r="AU62" i="8"/>
  <c r="BC62" i="8"/>
  <c r="BD62" i="8"/>
  <c r="AO62" i="8"/>
  <c r="AJ62" i="8"/>
  <c r="AZ62" i="8"/>
  <c r="AP74" i="8"/>
  <c r="AK74" i="8"/>
  <c r="AS74" i="8"/>
  <c r="AJ74" i="8"/>
  <c r="AQ62" i="8"/>
  <c r="AH62" i="8"/>
  <c r="AN74" i="8"/>
  <c r="BA74" i="8"/>
  <c r="AH74" i="8"/>
  <c r="AZ74" i="8"/>
  <c r="AU74" i="8"/>
  <c r="AL62" i="8"/>
  <c r="AT62" i="8"/>
  <c r="AX26" i="8"/>
  <c r="AL26" i="8"/>
  <c r="BA26" i="8"/>
  <c r="AO26" i="8"/>
  <c r="BD26" i="8"/>
  <c r="AR26" i="8"/>
  <c r="BC26" i="8"/>
  <c r="AQ26" i="8"/>
  <c r="BB26" i="8"/>
  <c r="AP26" i="8"/>
  <c r="AN26" i="8"/>
  <c r="AW26" i="8"/>
  <c r="AU26" i="8"/>
  <c r="AV26" i="8"/>
  <c r="AS26" i="8"/>
  <c r="AZ26" i="8"/>
  <c r="AT26" i="8"/>
  <c r="AY26" i="8"/>
  <c r="AK26" i="8"/>
  <c r="AJ26" i="8"/>
  <c r="AI26" i="8"/>
  <c r="AM26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BF15" i="8"/>
  <c r="BG4" i="8" l="1"/>
  <c r="BH4" i="8"/>
  <c r="BI4" i="8"/>
  <c r="AF37" i="8"/>
  <c r="AG37" i="8"/>
  <c r="AE37" i="8"/>
  <c r="BG22" i="8" l="1"/>
  <c r="BG10" i="8"/>
  <c r="BG25" i="8"/>
  <c r="BG13" i="8"/>
  <c r="BG20" i="8"/>
  <c r="BG8" i="8"/>
  <c r="BG23" i="8"/>
  <c r="BG11" i="8"/>
  <c r="BG18" i="8"/>
  <c r="BG6" i="8"/>
  <c r="BG14" i="8"/>
  <c r="BG12" i="8"/>
  <c r="BG24" i="8"/>
  <c r="BG21" i="8"/>
  <c r="BG9" i="8"/>
  <c r="BG7" i="8"/>
  <c r="BG19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AF25" i="8" l="1"/>
  <c r="AF10" i="8"/>
  <c r="AF18" i="8"/>
  <c r="AF19" i="8"/>
  <c r="AF12" i="8"/>
  <c r="AF20" i="8"/>
  <c r="AF13" i="8"/>
  <c r="AF21" i="8"/>
  <c r="AF14" i="8"/>
  <c r="AF11" i="8"/>
  <c r="AF7" i="8"/>
  <c r="AF9" i="8"/>
  <c r="AF6" i="8"/>
  <c r="AF22" i="8"/>
  <c r="AF23" i="8"/>
  <c r="AF24" i="8"/>
  <c r="AF8" i="8"/>
  <c r="AG20" i="8"/>
  <c r="AG8" i="8"/>
  <c r="AG23" i="8"/>
  <c r="AG11" i="8"/>
  <c r="AG6" i="8"/>
  <c r="AG14" i="8"/>
  <c r="AG18" i="8"/>
  <c r="AG21" i="8"/>
  <c r="AG9" i="8"/>
  <c r="AG24" i="8"/>
  <c r="AG12" i="8"/>
  <c r="AG10" i="8"/>
  <c r="AG19" i="8"/>
  <c r="AG7" i="8"/>
  <c r="AG25" i="8"/>
  <c r="AG13" i="8"/>
  <c r="AG22" i="8"/>
  <c r="AH18" i="8"/>
  <c r="AH25" i="8"/>
  <c r="AH13" i="8"/>
  <c r="AH20" i="8"/>
  <c r="AH8" i="8"/>
  <c r="AH23" i="8"/>
  <c r="AH11" i="8"/>
  <c r="AH6" i="8"/>
  <c r="AH14" i="8"/>
  <c r="AH21" i="8"/>
  <c r="AH9" i="8"/>
  <c r="AH22" i="8"/>
  <c r="AH24" i="8"/>
  <c r="AH10" i="8"/>
  <c r="AH12" i="8"/>
  <c r="AH19" i="8"/>
  <c r="AH7" i="8"/>
  <c r="AG73" i="8" a="1"/>
  <c r="AG73" i="8" s="1"/>
  <c r="AG68" i="8" a="1"/>
  <c r="AG68" i="8" s="1"/>
  <c r="AG69" i="8" a="1"/>
  <c r="AG69" i="8" s="1"/>
  <c r="AG70" i="8" a="1"/>
  <c r="AG70" i="8" s="1"/>
  <c r="AG72" i="8" a="1"/>
  <c r="AG72" i="8" s="1"/>
  <c r="AG67" i="8" a="1"/>
  <c r="AG67" i="8" s="1"/>
  <c r="AG71" i="8" a="1"/>
  <c r="AG71" i="8" s="1"/>
  <c r="AG66" i="8" a="1"/>
  <c r="AG66" i="8" s="1"/>
  <c r="BG15" i="8"/>
  <c r="AE97" i="8"/>
  <c r="AA15" i="8"/>
  <c r="AB15" i="8"/>
  <c r="AC15" i="8"/>
  <c r="AD15" i="8"/>
  <c r="AE15" i="8"/>
  <c r="Z15" i="8"/>
  <c r="AG62" i="8" l="1"/>
  <c r="AG40" i="8"/>
  <c r="AF42" i="8"/>
  <c r="AF41" i="8"/>
  <c r="AF43" i="8"/>
  <c r="AF15" i="8"/>
  <c r="AF46" i="8"/>
  <c r="AF44" i="8"/>
  <c r="AF26" i="8"/>
  <c r="AF40" i="8"/>
  <c r="AH15" i="8"/>
  <c r="AH26" i="8"/>
  <c r="AG15" i="8"/>
  <c r="AG26" i="8"/>
  <c r="AP44" i="8"/>
  <c r="AU44" i="8"/>
  <c r="AS44" i="8"/>
  <c r="AY44" i="8"/>
  <c r="AG44" i="8"/>
  <c r="AM44" i="8"/>
  <c r="AV44" i="8"/>
  <c r="AZ44" i="8"/>
  <c r="AW44" i="8"/>
  <c r="BC44" i="8"/>
  <c r="AO44" i="8"/>
  <c r="BB44" i="8"/>
  <c r="AI44" i="8"/>
  <c r="AK44" i="8"/>
  <c r="BA44" i="8"/>
  <c r="AJ44" i="8"/>
  <c r="AN44" i="8"/>
  <c r="AH44" i="8"/>
  <c r="AQ44" i="8"/>
  <c r="AR44" i="8"/>
  <c r="AT44" i="8"/>
  <c r="AX44" i="8"/>
  <c r="AL44" i="8"/>
  <c r="AZ46" i="8"/>
  <c r="AR46" i="8"/>
  <c r="AT46" i="8"/>
  <c r="AO46" i="8"/>
  <c r="AW46" i="8"/>
  <c r="AL46" i="8"/>
  <c r="AI46" i="8"/>
  <c r="AG46" i="8"/>
  <c r="BA46" i="8"/>
  <c r="AJ46" i="8"/>
  <c r="AM46" i="8"/>
  <c r="AV46" i="8"/>
  <c r="AH46" i="8"/>
  <c r="AN46" i="8"/>
  <c r="BC46" i="8"/>
  <c r="AU46" i="8"/>
  <c r="AX46" i="8"/>
  <c r="AS46" i="8"/>
  <c r="AP46" i="8"/>
  <c r="AQ46" i="8"/>
  <c r="BB46" i="8"/>
  <c r="AY46" i="8"/>
  <c r="AK46" i="8"/>
  <c r="AJ43" i="8"/>
  <c r="AS43" i="8"/>
  <c r="BC43" i="8"/>
  <c r="AR43" i="8"/>
  <c r="AK43" i="8"/>
  <c r="AI43" i="8"/>
  <c r="AL43" i="8"/>
  <c r="AY43" i="8"/>
  <c r="AM43" i="8"/>
  <c r="AV43" i="8"/>
  <c r="AZ43" i="8"/>
  <c r="AN43" i="8"/>
  <c r="AQ43" i="8"/>
  <c r="AU43" i="8"/>
  <c r="AX43" i="8"/>
  <c r="AW43" i="8"/>
  <c r="AH43" i="8"/>
  <c r="BA43" i="8"/>
  <c r="AT43" i="8"/>
  <c r="AO43" i="8"/>
  <c r="AG43" i="8"/>
  <c r="BB43" i="8"/>
  <c r="AP43" i="8"/>
  <c r="AN42" i="8"/>
  <c r="AT42" i="8"/>
  <c r="AQ42" i="8"/>
  <c r="AK42" i="8"/>
  <c r="AH42" i="8"/>
  <c r="BB42" i="8"/>
  <c r="AZ42" i="8"/>
  <c r="AX42" i="8"/>
  <c r="BA42" i="8"/>
  <c r="AO42" i="8"/>
  <c r="AR42" i="8"/>
  <c r="AP42" i="8"/>
  <c r="AY42" i="8"/>
  <c r="AG42" i="8"/>
  <c r="AL42" i="8"/>
  <c r="AU42" i="8"/>
  <c r="AI42" i="8"/>
  <c r="AJ42" i="8"/>
  <c r="AS42" i="8"/>
  <c r="AV42" i="8"/>
  <c r="BC42" i="8"/>
  <c r="AM42" i="8"/>
  <c r="AW42" i="8"/>
  <c r="AI41" i="8"/>
  <c r="AK41" i="8"/>
  <c r="AX41" i="8"/>
  <c r="AR41" i="8"/>
  <c r="AL41" i="8"/>
  <c r="AQ41" i="8"/>
  <c r="BA41" i="8"/>
  <c r="AO41" i="8"/>
  <c r="AJ41" i="8"/>
  <c r="AG41" i="8"/>
  <c r="AU41" i="8"/>
  <c r="AZ41" i="8"/>
  <c r="AS41" i="8"/>
  <c r="AM41" i="8"/>
  <c r="BC41" i="8"/>
  <c r="BB41" i="8"/>
  <c r="AY41" i="8"/>
  <c r="AV41" i="8"/>
  <c r="AP41" i="8"/>
  <c r="AN41" i="8"/>
  <c r="AH41" i="8"/>
  <c r="AW41" i="8"/>
  <c r="AT41" i="8"/>
  <c r="AR40" i="8"/>
  <c r="AY40" i="8"/>
  <c r="AS40" i="8"/>
  <c r="AN40" i="8"/>
  <c r="AH40" i="8"/>
  <c r="AI40" i="8"/>
  <c r="AJ40" i="8"/>
  <c r="AZ40" i="8"/>
  <c r="AU40" i="8"/>
  <c r="AX40" i="8"/>
  <c r="AM40" i="8"/>
  <c r="BB40" i="8"/>
  <c r="AT40" i="8"/>
  <c r="AO40" i="8"/>
  <c r="AQ40" i="8"/>
  <c r="AL40" i="8"/>
  <c r="AV40" i="8"/>
  <c r="AK40" i="8"/>
  <c r="BC40" i="8"/>
  <c r="AW40" i="8"/>
  <c r="BA40" i="8"/>
  <c r="AP40" i="8"/>
  <c r="Y37" i="8"/>
  <c r="Z37" i="8"/>
  <c r="AA37" i="8"/>
  <c r="AB37" i="8"/>
  <c r="AC37" i="8"/>
  <c r="AD37" i="8"/>
  <c r="M9" i="8"/>
  <c r="M10" i="8"/>
  <c r="M11" i="8"/>
  <c r="M12" i="8"/>
  <c r="M13" i="8"/>
  <c r="M14" i="8"/>
  <c r="M16" i="8"/>
  <c r="M8" i="8"/>
  <c r="K34" i="8" l="1"/>
  <c r="AB97" i="8" l="1"/>
  <c r="AC97" i="8"/>
  <c r="AD97" i="8"/>
  <c r="I16" i="8"/>
  <c r="N16" i="8" s="1"/>
  <c r="O16" i="8" s="1"/>
  <c r="AE47" i="8"/>
  <c r="AF47" i="8" l="1"/>
  <c r="AG47" i="8"/>
  <c r="AG48" i="8" s="1"/>
  <c r="I9" i="8"/>
  <c r="N9" i="8" s="1"/>
  <c r="O9" i="8" s="1"/>
  <c r="I10" i="8"/>
  <c r="I11" i="8"/>
  <c r="I12" i="8"/>
  <c r="N12" i="8" s="1"/>
  <c r="O12" i="8" s="1"/>
  <c r="I13" i="8"/>
  <c r="N13" i="8" s="1"/>
  <c r="O13" i="8" s="1"/>
  <c r="I14" i="8"/>
  <c r="N14" i="8" s="1"/>
  <c r="O14" i="8" s="1"/>
  <c r="I8" i="8"/>
  <c r="N8" i="8" s="1"/>
  <c r="O8" i="8" s="1"/>
  <c r="C22" i="8"/>
  <c r="C23" i="8"/>
  <c r="AH47" i="8" l="1"/>
  <c r="AH48" i="8" s="1"/>
  <c r="AF98" i="8"/>
  <c r="AF48" i="8"/>
  <c r="N10" i="8"/>
  <c r="O10" i="8" s="1"/>
  <c r="N11" i="8"/>
  <c r="O11" i="8" s="1"/>
  <c r="J20" i="8"/>
  <c r="J25" i="8"/>
  <c r="J23" i="8"/>
  <c r="J24" i="8" s="1"/>
  <c r="T35" i="11"/>
  <c r="T30" i="11"/>
  <c r="T8" i="11"/>
  <c r="T26" i="11"/>
  <c r="T20" i="11"/>
  <c r="T29" i="11"/>
  <c r="T12" i="11"/>
  <c r="T22" i="11"/>
  <c r="T11" i="11"/>
  <c r="T25" i="11"/>
  <c r="T34" i="11"/>
  <c r="T32" i="11"/>
  <c r="T28" i="11"/>
  <c r="T36" i="11"/>
  <c r="T27" i="11"/>
  <c r="T31" i="11"/>
  <c r="T21" i="11"/>
  <c r="T15" i="11"/>
  <c r="T10" i="11"/>
  <c r="T33" i="11"/>
  <c r="T24" i="11"/>
  <c r="T23" i="11"/>
  <c r="E20" i="8" l="1"/>
  <c r="S37" i="8"/>
  <c r="AE44" i="8"/>
  <c r="X37" i="8"/>
  <c r="W37" i="8"/>
  <c r="U37" i="8"/>
  <c r="V37" i="8"/>
  <c r="T37" i="8"/>
  <c r="AD42" i="8" l="1"/>
  <c r="C10" i="8" s="1"/>
  <c r="AE42" i="8"/>
  <c r="AD46" i="8"/>
  <c r="C14" i="8" s="1"/>
  <c r="AE46" i="8"/>
  <c r="AD41" i="8"/>
  <c r="C9" i="8" s="1"/>
  <c r="AE41" i="8"/>
  <c r="AD40" i="8"/>
  <c r="C8" i="8" s="1"/>
  <c r="AE40" i="8"/>
  <c r="AD43" i="8"/>
  <c r="C11" i="8" s="1"/>
  <c r="AE43" i="8"/>
  <c r="AC44" i="8"/>
  <c r="AD44" i="8"/>
  <c r="C12" i="8" s="1"/>
  <c r="AB46" i="8"/>
  <c r="AC46" i="8"/>
  <c r="AB41" i="8"/>
  <c r="AC41" i="8"/>
  <c r="AB40" i="8"/>
  <c r="AC40" i="8"/>
  <c r="AB43" i="8"/>
  <c r="AC43" i="8"/>
  <c r="AC42" i="8"/>
  <c r="AB42" i="8"/>
  <c r="AB44" i="8"/>
  <c r="AA44" i="8"/>
  <c r="X41" i="8"/>
  <c r="AA41" i="8"/>
  <c r="X42" i="8"/>
  <c r="AA42" i="8"/>
  <c r="X40" i="8"/>
  <c r="AA40" i="8"/>
  <c r="X43" i="8"/>
  <c r="AA43" i="8"/>
  <c r="X46" i="8"/>
  <c r="AA46" i="8"/>
  <c r="X44" i="8"/>
  <c r="Z44" i="8"/>
  <c r="Y44" i="8"/>
  <c r="Z43" i="8"/>
  <c r="Y43" i="8"/>
  <c r="Z42" i="8"/>
  <c r="Y42" i="8"/>
  <c r="Z41" i="8"/>
  <c r="Y41" i="8"/>
  <c r="Z40" i="8"/>
  <c r="Y40" i="8"/>
  <c r="Z46" i="8"/>
  <c r="Y46" i="8"/>
  <c r="R41" i="8"/>
  <c r="W40" i="8"/>
  <c r="R43" i="8"/>
  <c r="T42" i="8"/>
  <c r="T46" i="8"/>
  <c r="W46" i="8"/>
  <c r="R44" i="8"/>
  <c r="W42" i="8"/>
  <c r="T40" i="8"/>
  <c r="W44" i="8"/>
  <c r="W41" i="8"/>
  <c r="U40" i="8"/>
  <c r="V44" i="8"/>
  <c r="V41" i="8"/>
  <c r="W43" i="8"/>
  <c r="R40" i="8"/>
  <c r="V46" i="8"/>
  <c r="V43" i="8"/>
  <c r="U46" i="8"/>
  <c r="V40" i="8"/>
  <c r="U44" i="8"/>
  <c r="U41" i="8"/>
  <c r="T44" i="8"/>
  <c r="T41" i="8"/>
  <c r="U43" i="8"/>
  <c r="T43" i="8"/>
  <c r="V42" i="8"/>
  <c r="R42" i="8"/>
  <c r="U42" i="8"/>
  <c r="S42" i="8"/>
  <c r="S41" i="8"/>
  <c r="S43" i="8"/>
  <c r="S40" i="8"/>
  <c r="S46" i="8"/>
  <c r="S44" i="8"/>
  <c r="R37" i="8"/>
  <c r="AF95" i="8" l="1"/>
  <c r="AF94" i="8"/>
  <c r="AF91" i="8"/>
  <c r="AF93" i="8"/>
  <c r="AF92" i="8"/>
  <c r="AF97" i="8"/>
  <c r="AE92" i="8"/>
  <c r="AE94" i="8"/>
  <c r="AE96" i="8"/>
  <c r="AE91" i="8"/>
  <c r="AE95" i="8"/>
  <c r="AE93" i="8"/>
  <c r="AE90" i="8"/>
  <c r="AD95" i="8"/>
  <c r="AB93" i="8"/>
  <c r="R48" i="8"/>
  <c r="AD90" i="8"/>
  <c r="AC94" i="8"/>
  <c r="AD96" i="8"/>
  <c r="AB92" i="8"/>
  <c r="AC91" i="8"/>
  <c r="AB95" i="8"/>
  <c r="AC95" i="8"/>
  <c r="AD91" i="8"/>
  <c r="AB96" i="8"/>
  <c r="AC96" i="8"/>
  <c r="AD92" i="8"/>
  <c r="AC93" i="8"/>
  <c r="AD93" i="8"/>
  <c r="AB90" i="8"/>
  <c r="AC90" i="8"/>
  <c r="AB91" i="8"/>
  <c r="AD94" i="8"/>
  <c r="AB94" i="8"/>
  <c r="AC92" i="8"/>
  <c r="X48" i="8"/>
  <c r="S48" i="8"/>
  <c r="C13" i="8"/>
  <c r="AD48" i="8"/>
  <c r="AE48" i="8"/>
  <c r="AC48" i="8"/>
  <c r="AB48" i="8"/>
  <c r="AA48" i="8"/>
  <c r="Y48" i="8"/>
  <c r="Z48" i="8"/>
  <c r="W48" i="8"/>
  <c r="T48" i="8"/>
  <c r="U48" i="8"/>
  <c r="V48" i="8"/>
  <c r="E8" i="8"/>
  <c r="L20" i="8"/>
  <c r="AF99" i="8" l="1"/>
  <c r="AG99" i="8"/>
  <c r="AH99" i="8"/>
  <c r="Z62" i="8"/>
  <c r="Y62" i="8"/>
  <c r="AC62" i="8"/>
  <c r="AA62" i="8"/>
  <c r="AB62" i="8"/>
  <c r="V62" i="8"/>
  <c r="W62" i="8"/>
  <c r="T62" i="8"/>
  <c r="AE99" i="8"/>
  <c r="AD99" i="8"/>
  <c r="AB99" i="8"/>
  <c r="AC99" i="8"/>
  <c r="E11" i="8"/>
  <c r="AF62" i="8" l="1"/>
  <c r="S74" i="8"/>
  <c r="AD74" i="8"/>
  <c r="V74" i="8"/>
  <c r="AC74" i="8"/>
  <c r="AE74" i="8"/>
  <c r="W74" i="8"/>
  <c r="Z74" i="8"/>
  <c r="X74" i="8"/>
  <c r="AA74" i="8"/>
  <c r="R74" i="8"/>
  <c r="T74" i="8"/>
  <c r="Y74" i="8"/>
  <c r="AB74" i="8"/>
  <c r="U74" i="8"/>
  <c r="AF74" i="8" l="1"/>
  <c r="AG7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tc={C556FC32-8B80-4662-8D69-B8E5C6EBA349}</author>
    <author>tc={BB157C93-EC06-4F2E-8739-21453353A00B}</author>
    <author>tc={A956A42B-A103-421B-839F-D778E7B5726E}</author>
    <author>tc={AE9B41BA-BBA8-4A95-9603-4EF2B2496C3B}</author>
    <author>tc={B4652A88-EE5C-44C0-9153-54AB0B3FB0D7}</author>
    <author>tc={6DF7CDE3-B9E5-4E80-8840-E7B6E4B2AB4C}</author>
    <author>tc={05A3571D-1942-4595-86D8-F274B75AAAFB}</author>
    <author>tc={005FD765-F114-4949-96C0-EE4B0EB14FC6}</author>
    <author>tc={6AD7F6CF-1CB1-41F6-85C4-2DFD054A3593}</author>
    <author>tc={C64A76DE-DEA9-4FBF-B7AD-B37A6DB81FEB}</author>
    <author>tc={9266264E-4334-44D8-8449-8D594AEBF4DD}</author>
    <author>tc={C560D12A-1FF1-44BA-9E9C-E9CFD5A10FE1}</author>
    <author>tc={2587793D-7433-45A3-A0C6-598ED36BD4FF}</author>
    <author>tc={30D2B72D-DFA9-40F4-A931-A23503359BC3}</author>
    <author>tc={842D4219-83C8-4AF3-B24B-3FF5626D0E3B}</author>
    <author>tc={26FB7555-9188-43E2-9327-B8860C18B6A0}</author>
    <author>tc={8FB3716F-6CAC-4A8B-AF30-5F7987152B44}</author>
    <author>tc={99EE9342-396C-4753-889D-B116F5A9E7E2}</author>
    <author>tc={6B518979-7096-43DA-BD0E-AEC43A513B5D}</author>
    <author>tc={E7091C09-EF3E-4D89-8CCA-C3B02AB00E37}</author>
    <author>tc={60ADF6A1-4C19-4FB9-BDD0-C5CC9E97404C}</author>
    <author>tc={8E23B86F-C464-4D40-8607-11CCF16DAEAA}</author>
    <author>tc={9887D03D-1D9D-4513-838F-B1A6EFDDC8B5}</author>
    <author>tc={F395F43A-93D1-42A2-A65E-A3D462DB48C7}</author>
    <author>tc={6AF31163-1019-489D-A292-1ACB0EAEF992}</author>
    <author>tc={9D46807E-FBA1-4034-92DC-8BC41EE79115}</author>
    <author>tc={D96D4588-65BE-4B60-85C7-9E45500FC71C}</author>
    <author>tc={417FD701-3C0C-4484-A3F4-6598D80B906A}</author>
    <author>tc={1E174C3D-7EDA-4B65-8577-B6D83922793A}</author>
    <author>tc={C330E392-849F-4E9C-A86F-E538966F4673}</author>
    <author>tc={D6EEE4E4-5DA7-4B77-95A0-AD0ECAA4783F}</author>
    <author>tc={FF6C25A9-55B3-4660-84B9-E16F0C1EF3BC}</author>
    <author>tc={BA545C17-EBAF-46E7-83DA-62DBBE25CA84}</author>
    <author>tc={CF2BC9EE-B933-4631-886F-1B0A8A69E277}</author>
  </authors>
  <commentList>
    <comment ref="AH6" authorId="0" shapeId="0" xr:uid="{C556FC32-8B80-4662-8D69-B8E5C6EBA349}">
      <text>
        <t>[Threaded comment]
Your version of Excel allows you to read this threaded comment; however, any edits to it will get removed if the file is opened in a newer version of Excel. Learn more: https://go.microsoft.com/fwlink/?linkid=870924
Comment:
    Calli Mat Leave</t>
      </text>
    </comment>
    <comment ref="E8" authorId="1" shapeId="0" xr:uid="{BB157C93-EC06-4F2E-8739-21453353A00B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3 VPs</t>
      </text>
    </comment>
    <comment ref="J8" authorId="2" shapeId="0" xr:uid="{A956A42B-A103-421B-839F-D778E7B5726E}">
      <text>
        <t>[Threaded comment]
Your version of Excel allows you to read this threaded comment; however, any edits to it will get removed if the file is opened in a newer version of Excel. Learn more: https://go.microsoft.com/fwlink/?linkid=870924
Comment:
    2 x Senior Developer 
-backfill Tobias
-backfill Gonzalo
Principal Engineer
- backfill for Ed
Solution architect - backfill for Steven??? 
Backfill for Aidan</t>
      </text>
    </comment>
    <comment ref="L8" authorId="3" shapeId="0" xr:uid="{AE9B41BA-BBA8-4A95-9603-4EF2B2496C3B}">
      <text>
        <t>[Threaded comment]
Your version of Excel allows you to read this threaded comment; however, any edits to it will get removed if the file is opened in a newer version of Excel. Learn more: https://go.microsoft.com/fwlink/?linkid=870924
Comment:
    Head of Qual and Cloud Arc goes from 5 to 3</t>
      </text>
    </comment>
    <comment ref="J9" authorId="4" shapeId="0" xr:uid="{B4652A88-EE5C-44C0-9153-54AB0B3FB0D7}">
      <text>
        <t>[Threaded comment]
Your version of Excel allows you to read this threaded comment; however, any edits to it will get removed if the file is opened in a newer version of Excel. Learn more: https://go.microsoft.com/fwlink/?linkid=870924
Comment:
    Bid co-ordinator/ bid-manager. Marketing person</t>
      </text>
    </comment>
    <comment ref="J10" authorId="5" shapeId="0" xr:uid="{6DF7CDE3-B9E5-4E80-8840-E7B6E4B2AB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Recruitment </t>
      </text>
    </comment>
    <comment ref="J11" authorId="6" shapeId="0" xr:uid="{05A3571D-1942-4595-86D8-F274B75AAAFB}">
      <text>
        <t>[Threaded comment]
Your version of Excel allows you to read this threaded comment; however, any edits to it will get removed if the file is opened in a newer version of Excel. Learn more: https://go.microsoft.com/fwlink/?linkid=870924
Comment:
    Jersey/ Cyprus BA &amp; 2 Dev and 1 tester (in timezone) for Jersey - backfill for Sai and Fynn
Test Lead - backfill for Jono
Reply:
    Makesh backfill??? Possibly 
Reply:
    Offer to Marios for Dev based in Cyprus for Jersey starting 25th Aug
Reply:
    Role for onsite testing?
Reply:
    May backfill Mark G for someone for Cyprus Test Auto?
Reply:
    Backfill for VP Europe</t>
      </text>
    </comment>
    <comment ref="K11" authorId="7" shapeId="0" xr:uid="{005FD765-F114-4949-96C0-EE4B0EB14FC6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Support developer
Backfill for Mark G</t>
      </text>
    </comment>
    <comment ref="J12" authorId="8" shapeId="0" xr:uid="{6AD7F6CF-1CB1-41F6-85C4-2DFD054A35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backfilling Swapna?</t>
      </text>
    </comment>
    <comment ref="J13" authorId="9" shapeId="0" xr:uid="{C64A76DE-DEA9-4FBF-B7AD-B37A6DB81FEB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Backfill for Shona</t>
      </text>
    </comment>
    <comment ref="J14" authorId="10" shapeId="0" xr:uid="{9266264E-4334-44D8-8449-8D594AEBF4DD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Tester - backfill Dimaz
Reply:
    Need backfill for Liv</t>
      </text>
    </comment>
    <comment ref="K14" authorId="11" shapeId="0" xr:uid="{C560D12A-1FF1-44BA-9E9C-E9CFD5A10F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Engagement manager
Delivery Lead
3 x devs </t>
      </text>
    </comment>
    <comment ref="AB18" authorId="12" shapeId="0" xr:uid="{2587793D-7433-45A3-A0C6-598ED36BD4FF}">
      <text>
        <t>[Threaded comment]
Your version of Excel allows you to read this threaded comment; however, any edits to it will get removed if the file is opened in a newer version of Excel. Learn more: https://go.microsoft.com/fwlink/?linkid=870924
Comment:
    Evan Wilson - Head of AI Products</t>
      </text>
    </comment>
    <comment ref="J20" authorId="13" shapeId="0" xr:uid="{30D2B72D-DFA9-40F4-A931-A23503359BC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3 VPs</t>
      </text>
    </comment>
    <comment ref="V29" authorId="14" shapeId="0" xr:uid="{842D4219-83C8-4AF3-B24B-3FF5626D0E3B}">
      <text>
        <t>[Threaded comment]
Your version of Excel allows you to read this threaded comment; however, any edits to it will get removed if the file is opened in a newer version of Excel. Learn more: https://go.microsoft.com/fwlink/?linkid=870924
Comment:
    Cara returning from Mat leave</t>
      </text>
    </comment>
    <comment ref="Z29" authorId="15" shapeId="0" xr:uid="{26FB7555-9188-43E2-9327-B8860C18B6A0}">
      <text>
        <t>[Threaded comment]
Your version of Excel allows you to read this threaded comment; however, any edits to it will get removed if the file is opened in a newer version of Excel. Learn more: https://go.microsoft.com/fwlink/?linkid=870924
Comment:
    Kyle out to A/P and Richard in</t>
      </text>
    </comment>
    <comment ref="AE29" authorId="16" shapeId="0" xr:uid="{8FB3716F-6CAC-4A8B-AF30-5F7987152B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Tracey and Evan </t>
      </text>
    </comment>
    <comment ref="T30" authorId="17" shapeId="0" xr:uid="{99EE9342-396C-4753-889D-B116F5A9E7E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Tatiana moving to BDM Americas roles</t>
      </text>
    </comment>
    <comment ref="AA30" authorId="18" shapeId="0" xr:uid="{6B518979-7096-43DA-BD0E-AEC43A513B5D}">
      <text>
        <t>[Threaded comment]
Your version of Excel allows you to read this threaded comment; however, any edits to it will get removed if the file is opened in a newer version of Excel. Learn more: https://go.microsoft.com/fwlink/?linkid=870924
Comment:
    Alexa</t>
      </text>
    </comment>
    <comment ref="K31" authorId="19" shapeId="0" xr:uid="{E7091C09-EF3E-4D89-8CCA-C3B02AB00E37}">
      <text>
        <t>[Threaded comment]
Your version of Excel allows you to read this threaded comment; however, any edits to it will get removed if the file is opened in a newer version of Excel. Learn more: https://go.microsoft.com/fwlink/?linkid=870924
Comment:
    Evan, Shona, 2 x grads, Tracey</t>
      </text>
    </comment>
    <comment ref="AG31" authorId="20" shapeId="0" xr:uid="{60ADF6A1-4C19-4FB9-BDD0-C5CC9E97404C}">
      <text>
        <t>[Threaded comment]
Your version of Excel allows you to read this threaded comment; however, any edits to it will get removed if the file is opened in a newer version of Excel. Learn more: https://go.microsoft.com/fwlink/?linkid=870924
Comment:
    Hayley</t>
      </text>
    </comment>
    <comment ref="V32" authorId="21" shapeId="0" xr:uid="{8E23B86F-C464-4D40-8607-11CCF16DAEAA}">
      <text>
        <t>[Threaded comment]
Your version of Excel allows you to read this threaded comment; however, any edits to it will get removed if the file is opened in a newer version of Excel. Learn more: https://go.microsoft.com/fwlink/?linkid=870924
Comment:
    Leandro &amp; Sharron</t>
      </text>
    </comment>
    <comment ref="Z32" authorId="22" shapeId="0" xr:uid="{9887D03D-1D9D-4513-838F-B1A6EFDDC8B5}">
      <text>
        <t>[Threaded comment]
Your version of Excel allows you to read this threaded comment; however, any edits to it will get removed if the file is opened in a newer version of Excel. Learn more: https://go.microsoft.com/fwlink/?linkid=870924
Comment:
    Richard</t>
      </text>
    </comment>
    <comment ref="AF32" authorId="23" shapeId="0" xr:uid="{F395F43A-93D1-42A2-A65E-A3D462DB48C7}">
      <text>
        <t>[Threaded comment]
Your version of Excel allows you to read this threaded comment; however, any edits to it will get removed if the file is opened in a newer version of Excel. Learn more: https://go.microsoft.com/fwlink/?linkid=870924
Comment:
    Mary coming on Perm in DAC</t>
      </text>
    </comment>
    <comment ref="S33" authorId="24" shapeId="0" xr:uid="{6AF31163-1019-489D-A292-1ACB0EAEF992}">
      <text>
        <t>[Threaded comment]
Your version of Excel allows you to read this threaded comment; however, any edits to it will get removed if the file is opened in a newer version of Excel. Learn more: https://go.microsoft.com/fwlink/?linkid=870924
Comment:
    Logan, Prateek, Shu</t>
      </text>
    </comment>
    <comment ref="T33" authorId="25" shapeId="0" xr:uid="{9D46807E-FBA1-4034-92DC-8BC41EE79115}">
      <text>
        <t>[Threaded comment]
Your version of Excel allows you to read this threaded comment; however, any edits to it will get removed if the file is opened in a newer version of Excel. Learn more: https://go.microsoft.com/fwlink/?linkid=870924
Comment:
    Ellie</t>
      </text>
    </comment>
    <comment ref="U33" authorId="26" shapeId="0" xr:uid="{D96D4588-65BE-4B60-85C7-9E45500FC71C}">
      <text>
        <t>[Threaded comment]
Your version of Excel allows you to read this threaded comment; however, any edits to it will get removed if the file is opened in a newer version of Excel. Learn more: https://go.microsoft.com/fwlink/?linkid=870924
Comment:
    David, Jose, Minor, Gustavo</t>
      </text>
    </comment>
    <comment ref="X33" authorId="27" shapeId="0" xr:uid="{417FD701-3C0C-4484-A3F4-6598D80B906A}">
      <text>
        <t>[Threaded comment]
Your version of Excel allows you to read this threaded comment; however, any edits to it will get removed if the file is opened in a newer version of Excel. Learn more: https://go.microsoft.com/fwlink/?linkid=870924
Comment:
    Hector</t>
      </text>
    </comment>
    <comment ref="AC33" authorId="28" shapeId="0" xr:uid="{1E174C3D-7EDA-4B65-8577-B6D83922793A}">
      <text>
        <t>[Threaded comment]
Your version of Excel allows you to read this threaded comment; however, any edits to it will get removed if the file is opened in a newer version of Excel. Learn more: https://go.microsoft.com/fwlink/?linkid=870924
Comment:
    Dan M</t>
      </text>
    </comment>
    <comment ref="AG33" authorId="29" shapeId="0" xr:uid="{C330E392-849F-4E9C-A86F-E538966F4673}">
      <text>
        <t>[Threaded comment]
Your version of Excel allows you to read this threaded comment; however, any edits to it will get removed if the file is opened in a newer version of Excel. Learn more: https://go.microsoft.com/fwlink/?linkid=870924
Comment:
    Jono E and Pollob</t>
      </text>
    </comment>
    <comment ref="AE34" authorId="30" shapeId="0" xr:uid="{D6EEE4E4-5DA7-4B77-95A0-AD0ECAA478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Plus Evan minus Shona </t>
      </text>
    </comment>
    <comment ref="Y35" authorId="31" shapeId="0" xr:uid="{FF6C25A9-55B3-4660-84B9-E16F0C1EF3BC}">
      <text>
        <t>[Threaded comment]
Your version of Excel allows you to read this threaded comment; however, any edits to it will get removed if the file is opened in a newer version of Excel. Learn more: https://go.microsoft.com/fwlink/?linkid=870924
Comment:
    Sakshi</t>
      </text>
    </comment>
    <comment ref="AG35" authorId="32" shapeId="0" xr:uid="{BA545C17-EBAF-46E7-83DA-62DBBE25CA84}">
      <text>
        <t>[Threaded comment]
Your version of Excel allows you to read this threaded comment; however, any edits to it will get removed if the file is opened in a newer version of Excel. Learn more: https://go.microsoft.com/fwlink/?linkid=870924
Comment:
    Tatiana out and Pollob in</t>
      </text>
    </comment>
    <comment ref="R37" authorId="33" shapeId="0" xr:uid="{CF2BC9EE-B933-4631-886F-1B0A8A69E277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include clever cloud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tc={7F2BAF29-7131-48B0-9E5D-0D0EFB6ED0BC}</author>
    <author>tc={21D76B1D-7722-45E4-8CD5-8C90FE8D9A73}</author>
  </authors>
  <commentList>
    <comment ref="R3" authorId="0" shapeId="0" xr:uid="{7F2BAF29-7131-48B0-9E5D-0D0EFB6ED0BC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date as publicised “in the office” and removed from headcount 
(remains private/separate if different payroll arrangement e.g. on leave before employment ends - noted only as explanation if doesn’t reconcile with potential TT data)</t>
      </text>
    </comment>
    <comment ref="I173" authorId="1" shapeId="0" xr:uid="{21D76B1D-7722-45E4-8CD5-8C90FE8D9A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TBC as are all EU testers still reporting to Steph. Julian and Shona working through this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tc={55629978-4555-4289-BFC7-27771936F6F5}</author>
  </authors>
  <commentList>
    <comment ref="G47" authorId="0" shapeId="0" xr:uid="{55629978-4555-4289-BFC7-27771936F6F5}">
      <text>
        <t>[Threaded comment]
Your version of Excel allows you to read this threaded comment; however, any edits to it will get removed if the file is opened in a newer version of Excel. Learn more: https://go.microsoft.com/fwlink/?linkid=870924
Comment:
    Fiona, Tripti, Niraj, Steph all to change to Pollob from 1/7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tc={5942ABCE-D5D3-48D7-8493-7B077A054365}</author>
    <author>tc={48EA1210-A286-4A88-B095-A8BFAE768FAB}</author>
    <author>tc={80504455-AFD1-4E3D-A26D-AA965762EEB2}</author>
    <author>tc={A000F30A-8044-45BA-BCD5-345F9E218465}</author>
    <author>tc={B894628B-879C-4A8B-9F7B-A0E3BD8656E9}</author>
  </authors>
  <commentList>
    <comment ref="A3" authorId="0" shapeId="0" xr:uid="{5942ABCE-D5D3-48D7-8493-7B077A054365}">
      <text>
        <t>[Threaded comment]
Your version of Excel allows you to read this threaded comment; however, any edits to it will get removed if the file is opened in a newer version of Excel. Learn more: https://go.microsoft.com/fwlink/?linkid=870924
Comment:
    I have added this column as I would like to include this as it makes doing any comparative searches using this data point much easier (i.e. a unique identifier)
Reply:
    This is TT employee ID#</t>
      </text>
    </comment>
    <comment ref="R3" authorId="1" shapeId="0" xr:uid="{48EA1210-A286-4A88-B095-A8BFAE768FAB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date as publicised “in the office” and removed from headcount 
(remains private/separate if different payroll arrangement e.g. on leave before employment ends - noted only as explanation if doesn’t reconcile with potential TT data)</t>
      </text>
    </comment>
    <comment ref="I88" authorId="2" shapeId="0" xr:uid="{80504455-AFD1-4E3D-A26D-AA965762EE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TBC</t>
      </text>
    </comment>
    <comment ref="F172" authorId="3" shapeId="0" xr:uid="{A000F30A-8044-45BA-BCD5-345F9E21846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from 3/1/25</t>
      </text>
    </comment>
    <comment ref="I173" authorId="4" shapeId="0" xr:uid="{B894628B-879C-4A8B-9F7B-A0E3BD8656E9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TBC as are all EU testers still reporting to Steph. Julian and Shona working through this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tc={499EE506-6299-425B-BDA4-31D2118C2ADD}</author>
    <author>tc={D6B2EA63-FA8D-43DB-A3B1-FEDEEE615E22}</author>
    <author>tc={1A3F7FE3-022D-4F0D-8610-7499283A17CA}</author>
  </authors>
  <commentList>
    <comment ref="A3" authorId="0" shapeId="0" xr:uid="{499EE506-6299-425B-BDA4-31D2118C2ADD}">
      <text>
        <t>[Threaded comment]
Your version of Excel allows you to read this threaded comment; however, any edits to it will get removed if the file is opened in a newer version of Excel. Learn more: https://go.microsoft.com/fwlink/?linkid=870924
Comment:
    I have added this column as I would like to include this as it makes doing any comparative searches using this data point much easier (i.e. a unique identifier)</t>
      </text>
    </comment>
    <comment ref="Q51" authorId="1" shapeId="0" xr:uid="{D6B2EA63-FA8D-43DB-A3B1-FEDEEE615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Linked in said he is working for DT for only 3 months to do hyper care and then moving to London so approx. end date end Sept? </t>
      </text>
    </comment>
    <comment ref="E163" authorId="2" shapeId="0" xr:uid="{1A3F7FE3-022D-4F0D-8610-7499283A17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Appointed Business Development Manager, Americas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66E90E-3B21-451A-9EDE-774B072AC4F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78FDAAFA-81E4-4A78-A6BF-3DB319489987}" keepAlive="1" name="Query - Query1 (2)" description="Connection to the 'Query1 (2)' query in the workbook." type="5" refreshedVersion="8" background="1" saveData="1">
    <dbPr connection="Provider=Microsoft.Mashup.OleDb.1;Data Source=$Workbook$;Location=&quot;Query1 (2)&quot;;Extended Properties=&quot;&quot;" command="SELECT * FROM [Query1 (2)]"/>
  </connection>
  <connection id="3" xr16:uid="{E44E1C9D-ABE7-4254-910F-8305B54F93D2}" keepAlive="1" name="Query - Query1 (3)" description="Connection to the 'Query1 (3)' query in the workbook." type="5" refreshedVersion="8" background="1" saveData="1">
    <dbPr connection="Provider=Microsoft.Mashup.OleDb.1;Data Source=$Workbook$;Location=&quot;Query1 (3)&quot;;Extended Properties=&quot;&quot;" command="SELECT * FROM [Query1 (3)]"/>
  </connection>
  <connection id="4" xr16:uid="{07B5B016-F477-4344-A342-0EF9FBF73395}" keepAlive="1" name="Query - Query2" description="Connection to the 'Query2' query in the workbook." type="5" refreshedVersion="0" background="1" saveData="1">
    <dbPr connection="Provider=Microsoft.Mashup.OleDb.1;Data Source=$Workbook$;Location=Query2;Extended Properties=&quot;&quot;" command="SELECT * FROM [Query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<sst xmlns="http://schemas.openxmlformats.org/spreadsheetml/2006/main" count="11059" uniqueCount="1836">
  <si>
    <t>Summary People Stats</t>
  </si>
  <si>
    <t>Leavers</t>
  </si>
  <si>
    <t>Summary by business unit - Previous Month End</t>
  </si>
  <si>
    <t>Summary by business unit - LIVE</t>
  </si>
  <si>
    <t>Business Unit</t>
  </si>
  <si>
    <t>30/06/2024</t>
  </si>
  <si>
    <t>31/07/2024</t>
  </si>
  <si>
    <t>31/08/2024</t>
  </si>
  <si>
    <t>30/09/2024</t>
  </si>
  <si>
    <t>31/10/2024</t>
  </si>
  <si>
    <t>30/11/2024</t>
  </si>
  <si>
    <t>31/12/2024</t>
  </si>
  <si>
    <t>30/01/2025</t>
  </si>
  <si>
    <t>28/02/2025</t>
  </si>
  <si>
    <t>31/03/2025</t>
  </si>
  <si>
    <t>30/04/2025</t>
  </si>
  <si>
    <t>31/05/2025</t>
  </si>
  <si>
    <t>30/06/2025</t>
  </si>
  <si>
    <t>31/07/2025</t>
  </si>
  <si>
    <t>31/08/2025</t>
  </si>
  <si>
    <t>30/09/2025</t>
  </si>
  <si>
    <t>31/10/2025</t>
  </si>
  <si>
    <t>30/11/2025</t>
  </si>
  <si>
    <t>31/12/2025</t>
  </si>
  <si>
    <t>30/01/2026</t>
  </si>
  <si>
    <t>28/02/2026</t>
  </si>
  <si>
    <t>31/03/2026</t>
  </si>
  <si>
    <t>30/04/2026</t>
  </si>
  <si>
    <t>31/05/2026</t>
  </si>
  <si>
    <t>30/06/2026</t>
  </si>
  <si>
    <t>31/07/2026</t>
  </si>
  <si>
    <t>31/08/2026</t>
  </si>
  <si>
    <t>30/09/2026</t>
  </si>
  <si>
    <t>31/10/2026</t>
  </si>
  <si>
    <t>30/11/2026</t>
  </si>
  <si>
    <t>31/12/2026</t>
  </si>
  <si>
    <t>30/01/2027</t>
  </si>
  <si>
    <t>28/02/2027</t>
  </si>
  <si>
    <t>31/03/2027</t>
  </si>
  <si>
    <t>30/04/2027</t>
  </si>
  <si>
    <t>31/05/2027</t>
  </si>
  <si>
    <t>30/06/2027</t>
  </si>
  <si>
    <t>31/07/2027</t>
  </si>
  <si>
    <t>31/08/2027</t>
  </si>
  <si>
    <t>30/09/2027</t>
  </si>
  <si>
    <t>31/10/2027</t>
  </si>
  <si>
    <t>Engineering</t>
  </si>
  <si>
    <t>Headcount</t>
  </si>
  <si>
    <t>Regional Headcount</t>
  </si>
  <si>
    <t>Vaccancies to backfill</t>
  </si>
  <si>
    <t>Vaccancies for new roles</t>
  </si>
  <si>
    <t>Increase headcount roles TBC</t>
  </si>
  <si>
    <t>Contractors</t>
  </si>
  <si>
    <t>Perm Headcount (minus contractors)</t>
  </si>
  <si>
    <t>Perm with Vaccancies filled</t>
  </si>
  <si>
    <t>Sales</t>
  </si>
  <si>
    <t>Shared Services</t>
  </si>
  <si>
    <t>Europe</t>
  </si>
  <si>
    <t>Total Headcount</t>
  </si>
  <si>
    <t>Asia Pacific</t>
  </si>
  <si>
    <t>ELT</t>
  </si>
  <si>
    <t>Americas</t>
  </si>
  <si>
    <t>Clever Cloud</t>
  </si>
  <si>
    <t>Advisory, Data &amp;AI</t>
  </si>
  <si>
    <t xml:space="preserve"> Total </t>
  </si>
  <si>
    <t>Data, AI &amp; Consulting</t>
  </si>
  <si>
    <t>New starters</t>
  </si>
  <si>
    <t>Summary by office</t>
  </si>
  <si>
    <t>Office</t>
  </si>
  <si>
    <t>Regional Headcount with Vaccencies filled</t>
  </si>
  <si>
    <t>New Zealand</t>
  </si>
  <si>
    <t>NZ remote</t>
  </si>
  <si>
    <t>Cyprus</t>
  </si>
  <si>
    <t>Costa Rica</t>
  </si>
  <si>
    <t>includes contractors</t>
  </si>
  <si>
    <t>Remote</t>
  </si>
  <si>
    <t>excludes contractors</t>
  </si>
  <si>
    <t>Target headcount with vaccancies filled</t>
  </si>
  <si>
    <t>Internal Moves</t>
  </si>
  <si>
    <t>Summary by office by region</t>
  </si>
  <si>
    <t>Approx 187</t>
  </si>
  <si>
    <t>Historically averaged 175</t>
  </si>
  <si>
    <t>May - pre any transitions</t>
  </si>
  <si>
    <t>Leaving Date</t>
  </si>
  <si>
    <t>(blank)</t>
  </si>
  <si>
    <t>new roles in Engineering</t>
  </si>
  <si>
    <t>new roles in Americas</t>
  </si>
  <si>
    <t>Count of Employee ID</t>
  </si>
  <si>
    <t>Column Labels</t>
  </si>
  <si>
    <t>new roles in DAC</t>
  </si>
  <si>
    <t>Row Labels</t>
  </si>
  <si>
    <t>NZ Remote</t>
  </si>
  <si>
    <t>Other</t>
  </si>
  <si>
    <t>Check - Total</t>
  </si>
  <si>
    <t>Business Unit Headcount overtime</t>
  </si>
  <si>
    <t>Shared Services2</t>
  </si>
  <si>
    <t>31/05/2024</t>
  </si>
  <si>
    <t>CEO</t>
  </si>
  <si>
    <t>Totals</t>
  </si>
  <si>
    <t>Regional Total</t>
  </si>
  <si>
    <t>FTE</t>
  </si>
  <si>
    <t>Business Unit FTE overtime</t>
  </si>
  <si>
    <t>Column1</t>
  </si>
  <si>
    <t>Column2</t>
  </si>
  <si>
    <t>Column3</t>
  </si>
  <si>
    <t>Grand Total</t>
  </si>
  <si>
    <t>Technology</t>
  </si>
  <si>
    <t xml:space="preserve">Clever Cloud </t>
  </si>
  <si>
    <t>Totals minus CC</t>
  </si>
  <si>
    <t>Attrition</t>
  </si>
  <si>
    <t>Jun-25</t>
  </si>
  <si>
    <t>Aug-25</t>
  </si>
  <si>
    <t>Sept-25</t>
  </si>
  <si>
    <t>Total</t>
  </si>
  <si>
    <t>Contractor</t>
  </si>
  <si>
    <t>Current Region</t>
  </si>
  <si>
    <t>(Multiple Items)</t>
  </si>
  <si>
    <t>Current project/team - primary</t>
  </si>
  <si>
    <t>Business Analyst</t>
  </si>
  <si>
    <t>Consultant</t>
  </si>
  <si>
    <t>Development</t>
  </si>
  <si>
    <t xml:space="preserve">Leadership </t>
  </si>
  <si>
    <t>Testing</t>
  </si>
  <si>
    <t xml:space="preserve">Translator </t>
  </si>
  <si>
    <t>Delivery Management</t>
  </si>
  <si>
    <t xml:space="preserve">People allocations </t>
  </si>
  <si>
    <t>Updated 3/4/25</t>
  </si>
  <si>
    <t>Employee ID</t>
  </si>
  <si>
    <t>Surname</t>
  </si>
  <si>
    <t>First Names</t>
  </si>
  <si>
    <t>Start</t>
  </si>
  <si>
    <t>Job Title</t>
  </si>
  <si>
    <t>Vertical</t>
  </si>
  <si>
    <t>Line manager</t>
  </si>
  <si>
    <t>Day 1 Region</t>
  </si>
  <si>
    <t>New alignment - day 90</t>
  </si>
  <si>
    <t>Transition date</t>
  </si>
  <si>
    <t>Transition milestone</t>
  </si>
  <si>
    <t>Next project</t>
  </si>
  <si>
    <t>Next project date</t>
  </si>
  <si>
    <t>Notes</t>
  </si>
  <si>
    <t>Part Time/ Full Time</t>
  </si>
  <si>
    <t>Gender</t>
  </si>
  <si>
    <t>Start Time TBC</t>
  </si>
  <si>
    <t>EMPSON</t>
  </si>
  <si>
    <t>Wayne</t>
  </si>
  <si>
    <t>Principal Technical Consultant, Europe</t>
  </si>
  <si>
    <t>Vernon Kay</t>
  </si>
  <si>
    <t xml:space="preserve">Europe Region </t>
  </si>
  <si>
    <t>FT</t>
  </si>
  <si>
    <t>Male</t>
  </si>
  <si>
    <t>MARSHALL</t>
  </si>
  <si>
    <t>Raymond</t>
  </si>
  <si>
    <t>Vice President Americas</t>
  </si>
  <si>
    <t>NOBLE</t>
  </si>
  <si>
    <t>Brent</t>
  </si>
  <si>
    <t>Head of Platform</t>
  </si>
  <si>
    <t>Mark Morgan</t>
  </si>
  <si>
    <t>Platform</t>
  </si>
  <si>
    <t>SHEN</t>
  </si>
  <si>
    <t>Dongbo</t>
  </si>
  <si>
    <t>Senior  Developer</t>
  </si>
  <si>
    <t>Tim Claridge</t>
  </si>
  <si>
    <t>Jersey</t>
  </si>
  <si>
    <t>MORGAN</t>
  </si>
  <si>
    <t>Mark</t>
  </si>
  <si>
    <t>Vice President of Engineering</t>
  </si>
  <si>
    <t>O'TOOLE</t>
  </si>
  <si>
    <t>Tom</t>
  </si>
  <si>
    <t>Senior Developer</t>
  </si>
  <si>
    <t xml:space="preserve">Brendon Tribe </t>
  </si>
  <si>
    <t>SMITH</t>
  </si>
  <si>
    <t>Len</t>
  </si>
  <si>
    <t>Senior Project Manager</t>
  </si>
  <si>
    <t>Richard Morrison</t>
  </si>
  <si>
    <t>Belize</t>
  </si>
  <si>
    <t>CHATWIN</t>
  </si>
  <si>
    <t>Bill</t>
  </si>
  <si>
    <t>Managing Director &amp; Head of Sales</t>
  </si>
  <si>
    <t>MCCARTHY</t>
  </si>
  <si>
    <t>Daniel</t>
  </si>
  <si>
    <t xml:space="preserve">Senior Developer </t>
  </si>
  <si>
    <t>Seconded to Engineering till 17 October</t>
  </si>
  <si>
    <t>RAVLA</t>
  </si>
  <si>
    <t>Jayesh</t>
  </si>
  <si>
    <t>Development Manager</t>
  </si>
  <si>
    <t>Platform - Zephyr</t>
  </si>
  <si>
    <t>Brent Noble</t>
  </si>
  <si>
    <t>ALDER</t>
  </si>
  <si>
    <t>Blaire</t>
  </si>
  <si>
    <t>Head of Technical Delivery and Leadership - Europe</t>
  </si>
  <si>
    <t>WOODMAN</t>
  </si>
  <si>
    <t>Nicola</t>
  </si>
  <si>
    <t>Head of Architecture, Americas</t>
  </si>
  <si>
    <t>Pollob Sharma</t>
  </si>
  <si>
    <t>Female</t>
  </si>
  <si>
    <t>GRANT</t>
  </si>
  <si>
    <t>Jane</t>
  </si>
  <si>
    <t xml:space="preserve">VP Asia Pacific </t>
  </si>
  <si>
    <t>HARVISON</t>
  </si>
  <si>
    <t>James</t>
  </si>
  <si>
    <t>Practice Lead, Solutions Design</t>
  </si>
  <si>
    <t>Lauchlan Robertson</t>
  </si>
  <si>
    <t>Product</t>
  </si>
  <si>
    <t>YANG</t>
  </si>
  <si>
    <t>Wenping</t>
  </si>
  <si>
    <t>Senior Test Analyst</t>
  </si>
  <si>
    <t>Calli Bradford</t>
  </si>
  <si>
    <t>Remote from Australia</t>
  </si>
  <si>
    <t>FALCONER</t>
  </si>
  <si>
    <t>Lincoln</t>
  </si>
  <si>
    <t>Director</t>
  </si>
  <si>
    <t xml:space="preserve">No longer an employee but director only </t>
  </si>
  <si>
    <t>PT</t>
  </si>
  <si>
    <t>RENNELL</t>
  </si>
  <si>
    <t>Stephen</t>
  </si>
  <si>
    <t>Principal Developer</t>
  </si>
  <si>
    <t>PROFFITT</t>
  </si>
  <si>
    <t>Rebecca</t>
  </si>
  <si>
    <t>Senior Advisor Planning</t>
  </si>
  <si>
    <t>Planning</t>
  </si>
  <si>
    <t>Nick Steevens</t>
  </si>
  <si>
    <t>Portfolio planning &amp; reporting</t>
  </si>
  <si>
    <t>Finance + People</t>
  </si>
  <si>
    <t>DAWSON</t>
  </si>
  <si>
    <t>Emma</t>
  </si>
  <si>
    <t>Payroll &amp; Accounts Manager</t>
  </si>
  <si>
    <t>Finance</t>
  </si>
  <si>
    <t>Sharleen Thornley</t>
  </si>
  <si>
    <t>DUNNING</t>
  </si>
  <si>
    <t>Chris</t>
  </si>
  <si>
    <t>Blaire Alder</t>
  </si>
  <si>
    <t>WOJTAS</t>
  </si>
  <si>
    <t>Aidan</t>
  </si>
  <si>
    <t>Head of Technology</t>
  </si>
  <si>
    <t>CLARIDGE</t>
  </si>
  <si>
    <t>Tim</t>
  </si>
  <si>
    <t>Practice Lead</t>
  </si>
  <si>
    <t>Joe Ede</t>
  </si>
  <si>
    <t>IOM</t>
  </si>
  <si>
    <t>Move to Jersey from 12 Aug</t>
  </si>
  <si>
    <t>WILLIAMS</t>
  </si>
  <si>
    <t>Shona</t>
  </si>
  <si>
    <t xml:space="preserve">Strategic Advisor </t>
  </si>
  <si>
    <t>Evan Wilson</t>
  </si>
  <si>
    <t xml:space="preserve">ADAPT </t>
  </si>
  <si>
    <t>TOWNSEND</t>
  </si>
  <si>
    <t>Cara</t>
  </si>
  <si>
    <t>Engagement Manager</t>
  </si>
  <si>
    <t>Guyana</t>
  </si>
  <si>
    <t>Sept</t>
  </si>
  <si>
    <t>RENNIE</t>
  </si>
  <si>
    <t>Craig</t>
  </si>
  <si>
    <t>Staying Iom 14 Dec on Support</t>
  </si>
  <si>
    <t>MURTAGH</t>
  </si>
  <si>
    <t>Neil</t>
  </si>
  <si>
    <t>Principal Architect</t>
  </si>
  <si>
    <t>Moved to AUS 21 Aug '24, now fully remote</t>
  </si>
  <si>
    <t>SWANN</t>
  </si>
  <si>
    <t>Lisa</t>
  </si>
  <si>
    <t>Pricing &amp; Reporting Manager</t>
  </si>
  <si>
    <t>CAPEWELL</t>
  </si>
  <si>
    <t>Jonathan (Jono)</t>
  </si>
  <si>
    <t>Chris Morton</t>
  </si>
  <si>
    <t>THURSTON</t>
  </si>
  <si>
    <t>Sharron</t>
  </si>
  <si>
    <t>Principal Advisor/Consulting Practice Manager</t>
  </si>
  <si>
    <t>Jane Grant</t>
  </si>
  <si>
    <t>Bhutan</t>
  </si>
  <si>
    <t>MACASKILL</t>
  </si>
  <si>
    <t xml:space="preserve">Janet </t>
  </si>
  <si>
    <t>Head of People and Culture</t>
  </si>
  <si>
    <t>People</t>
  </si>
  <si>
    <t>Sanderson</t>
  </si>
  <si>
    <t>Technical Consultant</t>
  </si>
  <si>
    <t>Partners</t>
  </si>
  <si>
    <t>Tom Sanderson</t>
  </si>
  <si>
    <t>Data Migration</t>
  </si>
  <si>
    <t>y</t>
  </si>
  <si>
    <t>CROW</t>
  </si>
  <si>
    <t>FAIRMAID</t>
  </si>
  <si>
    <t xml:space="preserve">TechOps Manager </t>
  </si>
  <si>
    <t>Infrastructure</t>
  </si>
  <si>
    <t>Julien Thomas</t>
  </si>
  <si>
    <t>Technology - Infrastructure</t>
  </si>
  <si>
    <t>FERGUSON</t>
  </si>
  <si>
    <t>Louise</t>
  </si>
  <si>
    <t>People and Culture Advisor</t>
  </si>
  <si>
    <t>Janet Macaskill</t>
  </si>
  <si>
    <t>ROBERTS</t>
  </si>
  <si>
    <t>Steven</t>
  </si>
  <si>
    <t>Solution Architect</t>
  </si>
  <si>
    <t>Platform - Ostro</t>
  </si>
  <si>
    <t>Neil Murtagh</t>
  </si>
  <si>
    <t>Ostro</t>
  </si>
  <si>
    <t>Fiona</t>
  </si>
  <si>
    <t>Practice/ People</t>
  </si>
  <si>
    <t>Solomon Is.</t>
  </si>
  <si>
    <t>on Maternity leave - last day 17/1/25</t>
  </si>
  <si>
    <t>CLIFFORD</t>
  </si>
  <si>
    <t>Jonathan</t>
  </si>
  <si>
    <t xml:space="preserve">Head of Client &amp; Commercial Engagement </t>
  </si>
  <si>
    <t>Asia Pacific Region</t>
  </si>
  <si>
    <t>PALEZEVIC</t>
  </si>
  <si>
    <t>Diana</t>
  </si>
  <si>
    <t>Recruitment and Capability Manager</t>
  </si>
  <si>
    <t>THOMAS</t>
  </si>
  <si>
    <t>Michael</t>
  </si>
  <si>
    <t>ARZOLA</t>
  </si>
  <si>
    <t>Jonathan Eagle</t>
  </si>
  <si>
    <t>Solomons/Cooks</t>
  </si>
  <si>
    <t>SALVO</t>
  </si>
  <si>
    <t>Leandro</t>
  </si>
  <si>
    <t>Technical Lead</t>
  </si>
  <si>
    <t>Stephen Rennell</t>
  </si>
  <si>
    <t>Guayna</t>
  </si>
  <si>
    <t>O'CONNOR</t>
  </si>
  <si>
    <t>Kath</t>
  </si>
  <si>
    <t>Test Analyst</t>
  </si>
  <si>
    <t>FERNANDEZ</t>
  </si>
  <si>
    <t>Gonzalo</t>
  </si>
  <si>
    <t xml:space="preserve">Acting Development Manager </t>
  </si>
  <si>
    <t>Platform- Zephyr</t>
  </si>
  <si>
    <t>BRADFORD</t>
  </si>
  <si>
    <t>Calli</t>
  </si>
  <si>
    <t>Test Manager, Engineering</t>
  </si>
  <si>
    <t>BIRD</t>
  </si>
  <si>
    <t>Gary</t>
  </si>
  <si>
    <t>Creative Lead</t>
  </si>
  <si>
    <t>Eleanor Barnes</t>
  </si>
  <si>
    <t>4 days a week, Wednesday off</t>
  </si>
  <si>
    <t>BARNES</t>
  </si>
  <si>
    <t>Eleanor</t>
  </si>
  <si>
    <t>Sales Operations Manager</t>
  </si>
  <si>
    <t>Bill Chatwin</t>
  </si>
  <si>
    <t>GIBSON</t>
  </si>
  <si>
    <t>Alyssa</t>
  </si>
  <si>
    <t>Communications &amp; Engagment Specialist</t>
  </si>
  <si>
    <t>Business Coordination</t>
  </si>
  <si>
    <t>BERROSTEGUIETA</t>
  </si>
  <si>
    <t>Ignacio (Nacho)</t>
  </si>
  <si>
    <t>Engineering Lead, Americas</t>
  </si>
  <si>
    <t>People &amp; Development</t>
  </si>
  <si>
    <t>Bahamas</t>
  </si>
  <si>
    <t>SOOD</t>
  </si>
  <si>
    <t>Tripti</t>
  </si>
  <si>
    <t>Project Manager</t>
  </si>
  <si>
    <t>Project Management</t>
  </si>
  <si>
    <t>Contract ends 27/9/2024</t>
  </si>
  <si>
    <t>Y</t>
  </si>
  <si>
    <t>EASTON</t>
  </si>
  <si>
    <t>Teina</t>
  </si>
  <si>
    <t>Senior Corporate Accountant</t>
  </si>
  <si>
    <t>Emma Ung</t>
  </si>
  <si>
    <t>KANIYAPPA</t>
  </si>
  <si>
    <t>Suresh</t>
  </si>
  <si>
    <t>Systems Administrator</t>
  </si>
  <si>
    <t>Mark Fairmaid</t>
  </si>
  <si>
    <t>CHEANG</t>
  </si>
  <si>
    <t>Jeryl</t>
  </si>
  <si>
    <t>Luke</t>
  </si>
  <si>
    <t>Test Automation Engineer</t>
  </si>
  <si>
    <t>MAZUR</t>
  </si>
  <si>
    <t>Adrian</t>
  </si>
  <si>
    <t>Senior Database Administrator</t>
  </si>
  <si>
    <t>Database</t>
  </si>
  <si>
    <t>Technology - DBA</t>
  </si>
  <si>
    <t>DHONUKSHE</t>
  </si>
  <si>
    <t>Mahesh</t>
  </si>
  <si>
    <t>Remote from India</t>
  </si>
  <si>
    <t>NAVADIYA</t>
  </si>
  <si>
    <t>Dhruvit</t>
  </si>
  <si>
    <t>Developer</t>
  </si>
  <si>
    <t>ROBSON</t>
  </si>
  <si>
    <t>Blair</t>
  </si>
  <si>
    <t>BODLEY-DAVIES</t>
  </si>
  <si>
    <t>Fynn</t>
  </si>
  <si>
    <t>Extended to 31 March</t>
  </si>
  <si>
    <t>CHERRY</t>
  </si>
  <si>
    <t>Vincent</t>
  </si>
  <si>
    <t>Barbados</t>
  </si>
  <si>
    <t>Barbados Tech Lead</t>
  </si>
  <si>
    <t>ROZA</t>
  </si>
  <si>
    <t>Mohamed</t>
  </si>
  <si>
    <t>FLANNERY</t>
  </si>
  <si>
    <t>Siobhan</t>
  </si>
  <si>
    <t>Senior Project Coordinator</t>
  </si>
  <si>
    <t>Jayd Smith</t>
  </si>
  <si>
    <t>Training</t>
  </si>
  <si>
    <t xml:space="preserve">Contracted FT but large amounts of time as LWOP whilst returning to work </t>
  </si>
  <si>
    <t>BRANTLEY</t>
  </si>
  <si>
    <t>Logan</t>
  </si>
  <si>
    <t>Bahamas P1 Go-Live</t>
  </si>
  <si>
    <t>Belize &amp; Bahamas</t>
  </si>
  <si>
    <t>Bahamas Tech Lead; EST 50/50 Bahamas &amp; Belize</t>
  </si>
  <si>
    <t>KRINKEL</t>
  </si>
  <si>
    <t>Joe</t>
  </si>
  <si>
    <t>Test Manager, Americas</t>
  </si>
  <si>
    <t>LI</t>
  </si>
  <si>
    <t>Rochelle</t>
  </si>
  <si>
    <t>Joe Krinkel</t>
  </si>
  <si>
    <t>TAPA</t>
  </si>
  <si>
    <t>Ellie</t>
  </si>
  <si>
    <t xml:space="preserve">Implementation Consultant </t>
  </si>
  <si>
    <t>Solomons P1 Go-Live</t>
  </si>
  <si>
    <t>HA</t>
  </si>
  <si>
    <t>Tobias</t>
  </si>
  <si>
    <t>Gonzalo Fernandez</t>
  </si>
  <si>
    <t>Jalboot</t>
  </si>
  <si>
    <t>Abdalmunaem</t>
  </si>
  <si>
    <t>STEEVENS</t>
  </si>
  <si>
    <t>Nickolas</t>
  </si>
  <si>
    <t>Vice President Finance and Shared Services</t>
  </si>
  <si>
    <t>DE JONK</t>
  </si>
  <si>
    <t>Arunika</t>
  </si>
  <si>
    <t>Move to Cyprus 12 Aug</t>
  </si>
  <si>
    <t>MARTIN LOPE</t>
  </si>
  <si>
    <t>Tatiana</t>
  </si>
  <si>
    <t>Business Development Manager</t>
  </si>
  <si>
    <t>Americas Region</t>
  </si>
  <si>
    <t>PHEE</t>
  </si>
  <si>
    <t>Sulin</t>
  </si>
  <si>
    <t>Business Analyst, Europe</t>
  </si>
  <si>
    <t>Julian Virtue</t>
  </si>
  <si>
    <t>EVANS</t>
  </si>
  <si>
    <t>Michelle</t>
  </si>
  <si>
    <t>Business Coordinator / Leadership Support</t>
  </si>
  <si>
    <t>STIMSON</t>
  </si>
  <si>
    <t>Rowan</t>
  </si>
  <si>
    <t>SU</t>
  </si>
  <si>
    <t>Liang (Leo)</t>
  </si>
  <si>
    <t>NEVILLE</t>
  </si>
  <si>
    <t>Junior Developer</t>
  </si>
  <si>
    <t>EJETA</t>
  </si>
  <si>
    <t>Gelan</t>
  </si>
  <si>
    <t>DU TOIT</t>
  </si>
  <si>
    <t>HAWKES</t>
  </si>
  <si>
    <t>Remote from Canada from 29/7/24 for up to 2 years</t>
  </si>
  <si>
    <t>NICOL</t>
  </si>
  <si>
    <t>Secondment for Test Manager while Cali on Mat Leave</t>
  </si>
  <si>
    <t>ARULDASAN</t>
  </si>
  <si>
    <t>Mirendra</t>
  </si>
  <si>
    <t>Cyprus Tech Lead</t>
  </si>
  <si>
    <t>MITCHELL</t>
  </si>
  <si>
    <t>Jack</t>
  </si>
  <si>
    <t>Product Delivery Manager</t>
  </si>
  <si>
    <t>SERAPIO</t>
  </si>
  <si>
    <t>Shelah</t>
  </si>
  <si>
    <t>DU</t>
  </si>
  <si>
    <t>Bang</t>
  </si>
  <si>
    <t xml:space="preserve">Last day 22nd Nov </t>
  </si>
  <si>
    <t>BREMNER</t>
  </si>
  <si>
    <t>Stephanie</t>
  </si>
  <si>
    <t>Practice Lead - Test</t>
  </si>
  <si>
    <t>Jayd</t>
  </si>
  <si>
    <t>Head of Training</t>
  </si>
  <si>
    <t>BELL</t>
  </si>
  <si>
    <t>Nicholas</t>
  </si>
  <si>
    <t>Client Engagement Manager</t>
  </si>
  <si>
    <t>DICKSON</t>
  </si>
  <si>
    <t>Russell</t>
  </si>
  <si>
    <t>Head of Engineering Programmes</t>
  </si>
  <si>
    <t>Implementaion Support</t>
  </si>
  <si>
    <t>Sofia</t>
  </si>
  <si>
    <t>Delivery Lead</t>
  </si>
  <si>
    <t>TBC - full time in one region</t>
  </si>
  <si>
    <t>By end of 2024</t>
  </si>
  <si>
    <t>Service Delivery</t>
  </si>
  <si>
    <t>Nee Sofia Bergman</t>
  </si>
  <si>
    <t>ZHOU</t>
  </si>
  <si>
    <t>Kelly</t>
  </si>
  <si>
    <t>Product Owner, Engineering</t>
  </si>
  <si>
    <t>Olsson</t>
  </si>
  <si>
    <t>Andreas</t>
  </si>
  <si>
    <t>MUNT</t>
  </si>
  <si>
    <t>Tony</t>
  </si>
  <si>
    <t>Senior Tax Reform Consultant</t>
  </si>
  <si>
    <t>Last day in office 20/12/24</t>
  </si>
  <si>
    <t>KIOURTI</t>
  </si>
  <si>
    <t>Maria</t>
  </si>
  <si>
    <t>Technical Writer &amp; Translator</t>
  </si>
  <si>
    <t>Pavlos Papapavlou</t>
  </si>
  <si>
    <t>BROOKIE</t>
  </si>
  <si>
    <t>PAKI</t>
  </si>
  <si>
    <t>Kaine</t>
  </si>
  <si>
    <t>UNG</t>
  </si>
  <si>
    <t>Finance Manager</t>
  </si>
  <si>
    <t>LYSSIOTIS</t>
  </si>
  <si>
    <t>Christos</t>
  </si>
  <si>
    <t>Programme Manager - Europe</t>
  </si>
  <si>
    <t>Shona Williams</t>
  </si>
  <si>
    <t>LEE</t>
  </si>
  <si>
    <t>Christian</t>
  </si>
  <si>
    <t>WALKER</t>
  </si>
  <si>
    <t>Jill</t>
  </si>
  <si>
    <t>DE WET</t>
  </si>
  <si>
    <t>Christiaan</t>
  </si>
  <si>
    <t>Belize Tech Lead</t>
  </si>
  <si>
    <t>PAUL</t>
  </si>
  <si>
    <t>Danielle</t>
  </si>
  <si>
    <t>20 hours per week with possible additional hours as needed and to be approved by Eleanor on an ad hoc basis.</t>
  </si>
  <si>
    <t>807</t>
  </si>
  <si>
    <t>Sales &amp; Marketing Lead</t>
  </si>
  <si>
    <t>MORRISON</t>
  </si>
  <si>
    <t>Richard</t>
  </si>
  <si>
    <t>Head of Implementation Americas</t>
  </si>
  <si>
    <t>PAPAPAVLOU</t>
  </si>
  <si>
    <t>Pavlos</t>
  </si>
  <si>
    <t>Senior Business Analyst, Europe</t>
  </si>
  <si>
    <t>THANDAVAN</t>
  </si>
  <si>
    <t>Sundaresan</t>
  </si>
  <si>
    <t>Senior DevOps Engineer</t>
  </si>
  <si>
    <t>Andrew Sumner</t>
  </si>
  <si>
    <t>Technology - DevOps</t>
  </si>
  <si>
    <t>WHITMORE</t>
  </si>
  <si>
    <t>Christopher</t>
  </si>
  <si>
    <t>9-day fortnight from the beginning of 2026</t>
  </si>
  <si>
    <t>CARTER</t>
  </si>
  <si>
    <t>Samuel</t>
  </si>
  <si>
    <t>Resigned 6/6/2024</t>
  </si>
  <si>
    <t>DEY</t>
  </si>
  <si>
    <t>Rajib</t>
  </si>
  <si>
    <t>SACHDEVA</t>
  </si>
  <si>
    <t>Prateek</t>
  </si>
  <si>
    <t>part time remote, 3 months in India July 25</t>
  </si>
  <si>
    <t>HANRAHAN</t>
  </si>
  <si>
    <t>Justin</t>
  </si>
  <si>
    <t>MESTVIRISHVILI</t>
  </si>
  <si>
    <t>Vakhtangi</t>
  </si>
  <si>
    <t>DevOps Engineer</t>
  </si>
  <si>
    <t>VITHAL</t>
  </si>
  <si>
    <t>Cheyenne</t>
  </si>
  <si>
    <t>EASTLAKE</t>
  </si>
  <si>
    <t>Alex</t>
  </si>
  <si>
    <t>PANDA</t>
  </si>
  <si>
    <t>Swapna</t>
  </si>
  <si>
    <t>Stephanie Bremner</t>
  </si>
  <si>
    <t>EDE</t>
  </si>
  <si>
    <t>Delivery Director Isles and Client Services</t>
  </si>
  <si>
    <t>MOHAMED</t>
  </si>
  <si>
    <t>Tarek</t>
  </si>
  <si>
    <t>NORMAN</t>
  </si>
  <si>
    <t>Liv</t>
  </si>
  <si>
    <t>Head of Client, Americas</t>
  </si>
  <si>
    <t>DE SILVA</t>
  </si>
  <si>
    <t>Shalin</t>
  </si>
  <si>
    <t>Niraj Nagtilak</t>
  </si>
  <si>
    <t>UREÑA</t>
  </si>
  <si>
    <t>David</t>
  </si>
  <si>
    <t>Solomons P2 Go-Live</t>
  </si>
  <si>
    <t>GARCÍA</t>
  </si>
  <si>
    <t>José</t>
  </si>
  <si>
    <t>Minor Álvarez-Gómez</t>
  </si>
  <si>
    <t>CHING VARGAS</t>
  </si>
  <si>
    <t>Shu</t>
  </si>
  <si>
    <t>CASANOVA</t>
  </si>
  <si>
    <t>Hector</t>
  </si>
  <si>
    <t>ÁLVAREZ GÓMEZ</t>
  </si>
  <si>
    <t>Minor</t>
  </si>
  <si>
    <t>KEANE</t>
  </si>
  <si>
    <t>Hayley</t>
  </si>
  <si>
    <t>Data Engineer</t>
  </si>
  <si>
    <t>GRIFFIN</t>
  </si>
  <si>
    <t>Noel</t>
  </si>
  <si>
    <t>Last day 9 Aug</t>
  </si>
  <si>
    <t>McPherson</t>
  </si>
  <si>
    <t>Laura</t>
  </si>
  <si>
    <t>Planning Advisor</t>
  </si>
  <si>
    <t>Rebecca Proffitt</t>
  </si>
  <si>
    <t>HART</t>
  </si>
  <si>
    <t>Chloe</t>
  </si>
  <si>
    <t>Bid Manager</t>
  </si>
  <si>
    <t>Last day 27/9</t>
  </si>
  <si>
    <t>KULASINGHE</t>
  </si>
  <si>
    <t>Nishadi</t>
  </si>
  <si>
    <t>BLANCO</t>
  </si>
  <si>
    <t>Hayrom</t>
  </si>
  <si>
    <t>Support Engineer</t>
  </si>
  <si>
    <t>KUMARASWAMY</t>
  </si>
  <si>
    <t>Krithika</t>
  </si>
  <si>
    <t>Security Operation Analyst</t>
  </si>
  <si>
    <t>Security</t>
  </si>
  <si>
    <t>Bryan Hughes</t>
  </si>
  <si>
    <t>ZIVKOVIC</t>
  </si>
  <si>
    <t>Alexa</t>
  </si>
  <si>
    <t>Senior Technical Writer</t>
  </si>
  <si>
    <t>GILBERTSON</t>
  </si>
  <si>
    <t>Piers</t>
  </si>
  <si>
    <t>Learning Designer</t>
  </si>
  <si>
    <t>ARTYMIAK</t>
  </si>
  <si>
    <t>Ryan</t>
  </si>
  <si>
    <t>Senior Support Engineer</t>
  </si>
  <si>
    <t>RAJAMANI</t>
  </si>
  <si>
    <t>Sai</t>
  </si>
  <si>
    <t>Senior Business Analyst</t>
  </si>
  <si>
    <t>Rob Dongol</t>
  </si>
  <si>
    <t>DONALD</t>
  </si>
  <si>
    <t>Natasha</t>
  </si>
  <si>
    <t>Training Lead</t>
  </si>
  <si>
    <t>RUVANDO</t>
  </si>
  <si>
    <t>Maureen</t>
  </si>
  <si>
    <t>GUNATHILAKA</t>
  </si>
  <si>
    <t>Randika</t>
  </si>
  <si>
    <t>CHAUHAN</t>
  </si>
  <si>
    <t>Aryansh</t>
  </si>
  <si>
    <t>Office Support</t>
  </si>
  <si>
    <t xml:space="preserve">Robert Higgins </t>
  </si>
  <si>
    <t>SAIK</t>
  </si>
  <si>
    <t>Sheryl</t>
  </si>
  <si>
    <t>Finance Business Partner</t>
  </si>
  <si>
    <t>TANEZA</t>
  </si>
  <si>
    <t>Edson</t>
  </si>
  <si>
    <t>Victoria</t>
  </si>
  <si>
    <t>Head of Consulting, Americas</t>
  </si>
  <si>
    <t>SAVVIA</t>
  </si>
  <si>
    <t>GILL DALJIT SINGH</t>
  </si>
  <si>
    <t>Kamal</t>
  </si>
  <si>
    <t>Jersey &amp; IOM</t>
  </si>
  <si>
    <t>GUNAWARDANA</t>
  </si>
  <si>
    <t>Janani</t>
  </si>
  <si>
    <t>Move to Jersey till Nov</t>
  </si>
  <si>
    <t>VASILEIOU</t>
  </si>
  <si>
    <t>Service Delivery Lead, Cyprus</t>
  </si>
  <si>
    <t>CARLYLE</t>
  </si>
  <si>
    <t>Lindsay</t>
  </si>
  <si>
    <t>30 hours from 10/1/25 extended to 28/4/26. Moving to Cyprus 12 Aug</t>
  </si>
  <si>
    <t>HUGHES</t>
  </si>
  <si>
    <t>Bryan</t>
  </si>
  <si>
    <t>Head of Information Risk &amp; Privacy</t>
  </si>
  <si>
    <t>WOODS</t>
  </si>
  <si>
    <t>Sarah</t>
  </si>
  <si>
    <t>Leadership and Performance Coach</t>
  </si>
  <si>
    <t>VISWANATHAN</t>
  </si>
  <si>
    <t>Raja</t>
  </si>
  <si>
    <t>BIANCHI</t>
  </si>
  <si>
    <t>SHORTLAND</t>
  </si>
  <si>
    <t>John</t>
  </si>
  <si>
    <t>Infrastructure Engineer</t>
  </si>
  <si>
    <t>Contractor - Contract ends 22/8/2024. Contract extension to 14/10/24</t>
  </si>
  <si>
    <t>RATTANOUG</t>
  </si>
  <si>
    <t>Pheth</t>
  </si>
  <si>
    <t xml:space="preserve">TRIGUEROS CRUZ </t>
  </si>
  <si>
    <t xml:space="preserve">Gustavo </t>
  </si>
  <si>
    <t>CASTILLO</t>
  </si>
  <si>
    <t>Fiorella</t>
  </si>
  <si>
    <t>Operations Support and Project Coordinator</t>
  </si>
  <si>
    <t>JC</t>
  </si>
  <si>
    <t>Support</t>
  </si>
  <si>
    <t>ZORLIS</t>
  </si>
  <si>
    <t>Christoforos</t>
  </si>
  <si>
    <t>HAMILTON</t>
  </si>
  <si>
    <t>Maddison</t>
  </si>
  <si>
    <t xml:space="preserve">Business Coordinator </t>
  </si>
  <si>
    <t>EKMAN</t>
  </si>
  <si>
    <t>Gabby</t>
  </si>
  <si>
    <t>PENN</t>
  </si>
  <si>
    <t>Steve</t>
  </si>
  <si>
    <t>KAY</t>
  </si>
  <si>
    <t>Vernon</t>
  </si>
  <si>
    <t>Chief Executive</t>
  </si>
  <si>
    <t>Board</t>
  </si>
  <si>
    <t>SUMNER</t>
  </si>
  <si>
    <t>Andrew</t>
  </si>
  <si>
    <t>DevOps Manger</t>
  </si>
  <si>
    <t>WANIGARATHNE</t>
  </si>
  <si>
    <t>Nalinda</t>
  </si>
  <si>
    <t>Herberth</t>
  </si>
  <si>
    <t>Ignacio Berrosteguieta</t>
  </si>
  <si>
    <t>Service Delivery - Bahamas</t>
  </si>
  <si>
    <t>LANZAS</t>
  </si>
  <si>
    <t>Kristel</t>
  </si>
  <si>
    <t>WONG</t>
  </si>
  <si>
    <t>Garvin</t>
  </si>
  <si>
    <t>Senior Database Analyst</t>
  </si>
  <si>
    <t>Daste</t>
  </si>
  <si>
    <t>Jerome</t>
  </si>
  <si>
    <t>LAPERTAS</t>
  </si>
  <si>
    <t>Dimitrios</t>
  </si>
  <si>
    <t>ISURUWAN</t>
  </si>
  <si>
    <t>Arunoda</t>
  </si>
  <si>
    <t>EAGLE</t>
  </si>
  <si>
    <t xml:space="preserve">Engineering Lead </t>
  </si>
  <si>
    <t>ADAKARI</t>
  </si>
  <si>
    <t>Ruchira</t>
  </si>
  <si>
    <t>Remote working in Hamilton until 20 Jan 2026</t>
  </si>
  <si>
    <t>WALI</t>
  </si>
  <si>
    <t>Sakshi</t>
  </si>
  <si>
    <t>O'BYRNE</t>
  </si>
  <si>
    <t>Cath</t>
  </si>
  <si>
    <t>NAGTILAK</t>
  </si>
  <si>
    <t>Niraj</t>
  </si>
  <si>
    <t>Technical Implementation Architect</t>
  </si>
  <si>
    <t>SHARMA</t>
  </si>
  <si>
    <t>Pollob</t>
  </si>
  <si>
    <t>Interim VP Americas</t>
  </si>
  <si>
    <t>SENANAYAKA</t>
  </si>
  <si>
    <t>Miran</t>
  </si>
  <si>
    <t>GLASGOW</t>
  </si>
  <si>
    <t>Clive</t>
  </si>
  <si>
    <t>SPIERS</t>
  </si>
  <si>
    <t>Catherine (Cat)</t>
  </si>
  <si>
    <t>Temp reduction in hours until Dec</t>
  </si>
  <si>
    <t>DEMSAR</t>
  </si>
  <si>
    <t>Nico (Jose Nicolas)</t>
  </si>
  <si>
    <t xml:space="preserve">McDowell </t>
  </si>
  <si>
    <t>Rachel</t>
  </si>
  <si>
    <t>Sharood</t>
  </si>
  <si>
    <t xml:space="preserve">Ahmed (Ed) </t>
  </si>
  <si>
    <t>Principal Engineer</t>
  </si>
  <si>
    <t xml:space="preserve">Last day 23 October </t>
  </si>
  <si>
    <t>Uppala</t>
  </si>
  <si>
    <t>Kamalakar (Kamal)</t>
  </si>
  <si>
    <t>PERMANA</t>
  </si>
  <si>
    <t>Dimaz</t>
  </si>
  <si>
    <t>Mukesh</t>
  </si>
  <si>
    <t>ALI</t>
  </si>
  <si>
    <t>Imran</t>
  </si>
  <si>
    <t>Perhanidis</t>
  </si>
  <si>
    <t>Michailis (Mike)</t>
  </si>
  <si>
    <t>Horne</t>
  </si>
  <si>
    <t xml:space="preserve">Natalie </t>
  </si>
  <si>
    <t>Rathnaweera</t>
  </si>
  <si>
    <t xml:space="preserve">Chandima </t>
  </si>
  <si>
    <t>CHILDS</t>
  </si>
  <si>
    <t>Casual Office Support</t>
  </si>
  <si>
    <t>Temporary short-term employee</t>
  </si>
  <si>
    <t>Kylie</t>
  </si>
  <si>
    <t>Accountant</t>
  </si>
  <si>
    <t>Lisa Swann</t>
  </si>
  <si>
    <t>Contract 18/8-24/12. Part time 3 days per week (20h); Extended into 2025</t>
  </si>
  <si>
    <t xml:space="preserve">Virtue </t>
  </si>
  <si>
    <t>Julian</t>
  </si>
  <si>
    <t>Delivery Director Cyprus</t>
  </si>
  <si>
    <t>McIndoe</t>
  </si>
  <si>
    <t>Jamie</t>
  </si>
  <si>
    <t>Higgins</t>
  </si>
  <si>
    <t>Robert</t>
  </si>
  <si>
    <t xml:space="preserve">Head of Infrastructure &amp; Automation </t>
  </si>
  <si>
    <t>Dongol</t>
  </si>
  <si>
    <t>Robin (Rob)</t>
  </si>
  <si>
    <t>Winston</t>
  </si>
  <si>
    <t>Anntharshika (Ann)</t>
  </si>
  <si>
    <t>Desktop Support Engineer</t>
  </si>
  <si>
    <t>Pearless</t>
  </si>
  <si>
    <t xml:space="preserve">Lauren </t>
  </si>
  <si>
    <t>Project &amp; Service Coordinator</t>
  </si>
  <si>
    <t>Jonathan Clifford</t>
  </si>
  <si>
    <t>Molina</t>
  </si>
  <si>
    <t>Francisco (Fran)</t>
  </si>
  <si>
    <t>Dorfling</t>
  </si>
  <si>
    <t>Kyle</t>
  </si>
  <si>
    <t>Morton</t>
  </si>
  <si>
    <t>Christine (Chris)</t>
  </si>
  <si>
    <t>Dellow</t>
  </si>
  <si>
    <t>Phillip (Phil)</t>
  </si>
  <si>
    <t>Gorospe</t>
  </si>
  <si>
    <t>Marc</t>
  </si>
  <si>
    <t>Automation Test Consultant</t>
  </si>
  <si>
    <t>6 month contract ends 30 June 25</t>
  </si>
  <si>
    <t>Olofsson</t>
  </si>
  <si>
    <t>Fredrik</t>
  </si>
  <si>
    <t>Lapwood</t>
  </si>
  <si>
    <t>Malak</t>
  </si>
  <si>
    <t>Zaki</t>
  </si>
  <si>
    <t xml:space="preserve">Based in Montreal </t>
  </si>
  <si>
    <t>Wilson</t>
  </si>
  <si>
    <t>Evan</t>
  </si>
  <si>
    <t>VP Advisory, Data &amp;AI</t>
  </si>
  <si>
    <t>Lee</t>
  </si>
  <si>
    <t>Service Delivery Lead</t>
  </si>
  <si>
    <t>Thornley</t>
  </si>
  <si>
    <t xml:space="preserve">Sharleen </t>
  </si>
  <si>
    <t xml:space="preserve">Head of Finance </t>
  </si>
  <si>
    <t>Lloyd</t>
  </si>
  <si>
    <t>Tracey</t>
  </si>
  <si>
    <t>Advisory</t>
  </si>
  <si>
    <t xml:space="preserve">20 hours per week, AKL based, contract to mid Nov. Extension to 31 March 2026 at 12 hours per week </t>
  </si>
  <si>
    <t>O'Leary</t>
  </si>
  <si>
    <t>Mary</t>
  </si>
  <si>
    <t>BDM/ Project Director</t>
  </si>
  <si>
    <t xml:space="preserve">Half time spent in sales </t>
  </si>
  <si>
    <t>Jaworski</t>
  </si>
  <si>
    <t>Jonatan (JJ)</t>
  </si>
  <si>
    <t>Head of Quality Engineering</t>
  </si>
  <si>
    <t>Huang</t>
  </si>
  <si>
    <t>Intern</t>
  </si>
  <si>
    <t>Contract extending till 31 Jan 26</t>
  </si>
  <si>
    <t>Duguid</t>
  </si>
  <si>
    <t>Matt</t>
  </si>
  <si>
    <t>Cloud Architect</t>
  </si>
  <si>
    <t>Cloud</t>
  </si>
  <si>
    <t>Ede</t>
  </si>
  <si>
    <t>Nkiru</t>
  </si>
  <si>
    <t>Tax Systems Analyst</t>
  </si>
  <si>
    <t>Victoria Lee</t>
  </si>
  <si>
    <t>Xiong</t>
  </si>
  <si>
    <t>Ruiqi</t>
  </si>
  <si>
    <t>Contract</t>
  </si>
  <si>
    <t>Tribe</t>
  </si>
  <si>
    <t>Brendon</t>
  </si>
  <si>
    <t>Amarasinghe</t>
  </si>
  <si>
    <t>Sampath</t>
  </si>
  <si>
    <t>Clarke</t>
  </si>
  <si>
    <t>Mick</t>
  </si>
  <si>
    <t>Head of AI Enablement</t>
  </si>
  <si>
    <t>Contractor hourly rate</t>
  </si>
  <si>
    <t>Senavirathne</t>
  </si>
  <si>
    <t>Iroshini</t>
  </si>
  <si>
    <t xml:space="preserve">Hamilton </t>
  </si>
  <si>
    <t>Stuart</t>
  </si>
  <si>
    <t xml:space="preserve">Tax Advisory Consultant </t>
  </si>
  <si>
    <t xml:space="preserve">Hourly rate Contractor – up to 20hours per week.  End date 17 October.  
Contract extension 18th October until 17 April 2026
</t>
  </si>
  <si>
    <t>Mitas</t>
  </si>
  <si>
    <t>Marios</t>
  </si>
  <si>
    <t>Software Developer</t>
  </si>
  <si>
    <t>Small</t>
  </si>
  <si>
    <t>Harry</t>
  </si>
  <si>
    <t>Graham</t>
  </si>
  <si>
    <t xml:space="preserve">Information Management Consultant   </t>
  </si>
  <si>
    <t>Information Management</t>
  </si>
  <si>
    <t>Independent Contractor – hourly rate – not using TimeTorque – he will invoice us
For approximately 3 months – up to 150 hours – 8-16 hours a week 
From 24th November 2025 for a period of 3 months, with a minimum requirement of 3 days per week and no more than 37.5 hours per week.</t>
  </si>
  <si>
    <t xml:space="preserve">Beech </t>
  </si>
  <si>
    <t>Datu</t>
  </si>
  <si>
    <t>Data &amp;AI Intern</t>
  </si>
  <si>
    <t>Sarah Woods</t>
  </si>
  <si>
    <t>Fixed term, 37.5h/week for 10 weeks, now extended to 23rd January</t>
  </si>
  <si>
    <t>Moqeem</t>
  </si>
  <si>
    <t xml:space="preserve">Aasia </t>
  </si>
  <si>
    <t>Senior Test  &amp; Automation Analyst</t>
  </si>
  <si>
    <t>Criag Nicol</t>
  </si>
  <si>
    <t>Backfill for Craif N while backfilling for Cali. Contractor through Planit.  Full time for 6 months to 27th Feb 2026</t>
  </si>
  <si>
    <t>Wu</t>
  </si>
  <si>
    <t>Tong</t>
  </si>
  <si>
    <t>Desai</t>
  </si>
  <si>
    <t>Vedant</t>
  </si>
  <si>
    <t xml:space="preserve">Mahdi </t>
  </si>
  <si>
    <t>Noor</t>
  </si>
  <si>
    <t>Jeyes</t>
  </si>
  <si>
    <t>Test Lead</t>
  </si>
  <si>
    <t>Parekh</t>
  </si>
  <si>
    <t>Samir</t>
  </si>
  <si>
    <t xml:space="preserve">Technical Architect   </t>
  </si>
  <si>
    <t>Independent Contractor – hourly rate – will be using TimeTorque
For 6 months – up to 8 hours a week – to 6 March (probably 13 March seeing as he is starting a week late)</t>
  </si>
  <si>
    <t>Goucher</t>
  </si>
  <si>
    <t>Backfill for Tobias</t>
  </si>
  <si>
    <t xml:space="preserve">Gupta </t>
  </si>
  <si>
    <t xml:space="preserve">Akta </t>
  </si>
  <si>
    <t>Backfill for Gonzalo</t>
  </si>
  <si>
    <t>Tziortzis</t>
  </si>
  <si>
    <t xml:space="preserve">Christos </t>
  </si>
  <si>
    <t>doing the Jersey support work but based in Cyprus</t>
  </si>
  <si>
    <t>Hose</t>
  </si>
  <si>
    <t>Trevor</t>
  </si>
  <si>
    <t>Senior Software Developer</t>
  </si>
  <si>
    <t>DataCom</t>
  </si>
  <si>
    <t>Datacom contractor - full time 3-5 months</t>
  </si>
  <si>
    <t>Indira</t>
  </si>
  <si>
    <t>Kasina</t>
  </si>
  <si>
    <t>Khawaja</t>
  </si>
  <si>
    <t>Kumar</t>
  </si>
  <si>
    <t xml:space="preserve">Oshini </t>
  </si>
  <si>
    <t>Gunawardana</t>
  </si>
  <si>
    <t>Willoughby</t>
  </si>
  <si>
    <t>Thomas</t>
  </si>
  <si>
    <t>Casper</t>
  </si>
  <si>
    <t>Ross</t>
  </si>
  <si>
    <t>Julien</t>
  </si>
  <si>
    <t>3 month initial, hourly rate contractor</t>
  </si>
  <si>
    <t>Hansen</t>
  </si>
  <si>
    <t>Head of Emerging Products</t>
  </si>
  <si>
    <t>From Flick</t>
  </si>
  <si>
    <t>Whyte</t>
  </si>
  <si>
    <t>Fergus</t>
  </si>
  <si>
    <t>Andy Hansen</t>
  </si>
  <si>
    <t>Emerging products</t>
  </si>
  <si>
    <t>Branet</t>
  </si>
  <si>
    <t>Paul</t>
  </si>
  <si>
    <t>Robertson</t>
  </si>
  <si>
    <t>Lauchlan</t>
  </si>
  <si>
    <t>Head of Product Design</t>
  </si>
  <si>
    <t>799</t>
  </si>
  <si>
    <t>Obrutsky</t>
  </si>
  <si>
    <t xml:space="preserve">Santiago </t>
  </si>
  <si>
    <t>Project Manger</t>
  </si>
  <si>
    <t>Initially starting in Argentina then in Wellington</t>
  </si>
  <si>
    <t>808</t>
  </si>
  <si>
    <t>BONDOC</t>
  </si>
  <si>
    <t>Jen</t>
  </si>
  <si>
    <t>Datacom contractor - full time 3-5 monthsbackfill</t>
  </si>
  <si>
    <t>Hanif</t>
  </si>
  <si>
    <t xml:space="preserve">Asifa </t>
  </si>
  <si>
    <t>Fixed term intern for 10 weeks (last day 16 Jan 2026)</t>
  </si>
  <si>
    <t>Davis</t>
  </si>
  <si>
    <t>Aspen</t>
  </si>
  <si>
    <t>805</t>
  </si>
  <si>
    <t>Chatwin</t>
  </si>
  <si>
    <t>Freda</t>
  </si>
  <si>
    <t>Product Design Intern</t>
  </si>
  <si>
    <t>Interns</t>
  </si>
  <si>
    <t>Dhade</t>
  </si>
  <si>
    <t>Lokesh</t>
  </si>
  <si>
    <t>Ullah</t>
  </si>
  <si>
    <t>Monzoor</t>
  </si>
  <si>
    <t>Working from home or on the client site</t>
  </si>
  <si>
    <t>804</t>
  </si>
  <si>
    <t>Sinha</t>
  </si>
  <si>
    <t xml:space="preserve">Adya </t>
  </si>
  <si>
    <t>AI Developer Intern</t>
  </si>
  <si>
    <t>800</t>
  </si>
  <si>
    <t>McIlwaine</t>
  </si>
  <si>
    <t>Alan</t>
  </si>
  <si>
    <t>803</t>
  </si>
  <si>
    <t>Sigbeku</t>
  </si>
  <si>
    <t>Anjola</t>
  </si>
  <si>
    <t>801</t>
  </si>
  <si>
    <t>Pearce-Metcalfe</t>
  </si>
  <si>
    <t xml:space="preserve">Lane </t>
  </si>
  <si>
    <t>802</t>
  </si>
  <si>
    <t>Wong</t>
  </si>
  <si>
    <t xml:space="preserve">Weyman </t>
  </si>
  <si>
    <t>806</t>
  </si>
  <si>
    <t>Antipas</t>
  </si>
  <si>
    <t>Sandy</t>
  </si>
  <si>
    <t>Client Success Manager</t>
  </si>
  <si>
    <t>Backfill for Liv</t>
  </si>
  <si>
    <t>810</t>
  </si>
  <si>
    <t>Rajapakshage</t>
  </si>
  <si>
    <t>Nilakshi</t>
  </si>
  <si>
    <t>809</t>
  </si>
  <si>
    <t>Clements</t>
  </si>
  <si>
    <t>Jason</t>
  </si>
  <si>
    <t>Backfill for Cara</t>
  </si>
  <si>
    <t>Principal Data Engineer</t>
  </si>
  <si>
    <t>Stefan (Steph B partner)</t>
  </si>
  <si>
    <t xml:space="preserve">Technical Lead </t>
  </si>
  <si>
    <t xml:space="preserve">Backfill for Leandro, not planning to backfill if internal hire </t>
  </si>
  <si>
    <t>Senior Infrastructure Engineer</t>
  </si>
  <si>
    <t>Data Torque employees from 2019 onwards</t>
  </si>
  <si>
    <t>EmployeeID</t>
  </si>
  <si>
    <t>LastName</t>
  </si>
  <si>
    <t>FirstName</t>
  </si>
  <si>
    <t>JobTitle</t>
  </si>
  <si>
    <t xml:space="preserve">Pricing category </t>
  </si>
  <si>
    <t>Service Type</t>
  </si>
  <si>
    <t>Graeme</t>
  </si>
  <si>
    <t>Technical Services</t>
  </si>
  <si>
    <t>Discounted Hours @ $90</t>
  </si>
  <si>
    <t>Dummy Account</t>
  </si>
  <si>
    <t>Tech Lead</t>
  </si>
  <si>
    <t>Discounted Hours @ $70</t>
  </si>
  <si>
    <t xml:space="preserve">Professional Services </t>
  </si>
  <si>
    <t>Empson</t>
  </si>
  <si>
    <t>Chief Technology Officer</t>
  </si>
  <si>
    <t>Tester</t>
  </si>
  <si>
    <t>Discounted Hours @ $100</t>
  </si>
  <si>
    <t>Discounted Hours @ $65</t>
  </si>
  <si>
    <t xml:space="preserve">Project Coordination </t>
  </si>
  <si>
    <t>Adjustment to Accts</t>
  </si>
  <si>
    <t>Discounted Hours @ $120</t>
  </si>
  <si>
    <t>Discounted Hours @ $150</t>
  </si>
  <si>
    <t>Consultancy</t>
  </si>
  <si>
    <t>Change Manager</t>
  </si>
  <si>
    <t>Marshall</t>
  </si>
  <si>
    <t>Executive Vice President Americas</t>
  </si>
  <si>
    <t>Tech Engineer</t>
  </si>
  <si>
    <t>Kevin</t>
  </si>
  <si>
    <t>Senior Consultant/Developer</t>
  </si>
  <si>
    <t>Releases</t>
  </si>
  <si>
    <t>Noble</t>
  </si>
  <si>
    <t>Trainer</t>
  </si>
  <si>
    <t>Shen</t>
  </si>
  <si>
    <t>Senior Consultant / Developer</t>
  </si>
  <si>
    <t>Morgan</t>
  </si>
  <si>
    <t>Translation</t>
  </si>
  <si>
    <t>O'Toole</t>
  </si>
  <si>
    <t>Senior Developer / Consultant</t>
  </si>
  <si>
    <t>Smith</t>
  </si>
  <si>
    <t>McCarthy</t>
  </si>
  <si>
    <t>Managing Director</t>
  </si>
  <si>
    <t>Baird</t>
  </si>
  <si>
    <t>Brian</t>
  </si>
  <si>
    <t>Senior Network Administrator</t>
  </si>
  <si>
    <t>Ravla</t>
  </si>
  <si>
    <t>Alder</t>
  </si>
  <si>
    <t>Harvison</t>
  </si>
  <si>
    <t>Head of Practice - Solution Design</t>
  </si>
  <si>
    <t>Thurston</t>
  </si>
  <si>
    <t>Grant</t>
  </si>
  <si>
    <t>Head of Business Improvement and Planning</t>
  </si>
  <si>
    <t>Woodman</t>
  </si>
  <si>
    <t>Solutions Architect</t>
  </si>
  <si>
    <t>Yang</t>
  </si>
  <si>
    <t>Rhynas</t>
  </si>
  <si>
    <t>Senior Consultant Developer</t>
  </si>
  <si>
    <t>Claridge</t>
  </si>
  <si>
    <t>Timothy</t>
  </si>
  <si>
    <t>Fernando</t>
  </si>
  <si>
    <t>Maribel</t>
  </si>
  <si>
    <t>Proffitt</t>
  </si>
  <si>
    <t>Falconer</t>
  </si>
  <si>
    <t>Dawson</t>
  </si>
  <si>
    <t>Payroll and Accounts Manager</t>
  </si>
  <si>
    <t>Dunning</t>
  </si>
  <si>
    <t>Eagle</t>
  </si>
  <si>
    <t>Rennell</t>
  </si>
  <si>
    <t>Viswanatha</t>
  </si>
  <si>
    <t>Srivatsa</t>
  </si>
  <si>
    <t>Kaimarama</t>
  </si>
  <si>
    <t>Seco</t>
  </si>
  <si>
    <t>Francisco</t>
  </si>
  <si>
    <t>Bromley</t>
  </si>
  <si>
    <t>Rob</t>
  </si>
  <si>
    <t>Proposal and Technical Writer</t>
  </si>
  <si>
    <t>Moore</t>
  </si>
  <si>
    <t>Melissa</t>
  </si>
  <si>
    <t>Townsend</t>
  </si>
  <si>
    <t>Technical Delivery Manager</t>
  </si>
  <si>
    <t>Jarvis</t>
  </si>
  <si>
    <t>Catherine</t>
  </si>
  <si>
    <t>Technical Writer</t>
  </si>
  <si>
    <t>Williams</t>
  </si>
  <si>
    <t>Vice President of Services and Transformation</t>
  </si>
  <si>
    <t>Nath</t>
  </si>
  <si>
    <t>Quality Assurance Lead</t>
  </si>
  <si>
    <t>Cormack</t>
  </si>
  <si>
    <t>Robyn</t>
  </si>
  <si>
    <t>Murray</t>
  </si>
  <si>
    <t>Consultant / Project Manager</t>
  </si>
  <si>
    <t>Rennie</t>
  </si>
  <si>
    <t>Murtagh</t>
  </si>
  <si>
    <t>Product Technical Lead</t>
  </si>
  <si>
    <t>Welch</t>
  </si>
  <si>
    <t>Susie</t>
  </si>
  <si>
    <t>Project Coordinator</t>
  </si>
  <si>
    <t>Swann</t>
  </si>
  <si>
    <t>Wigmore</t>
  </si>
  <si>
    <t>Hook</t>
  </si>
  <si>
    <t>Rick</t>
  </si>
  <si>
    <t>Chang</t>
  </si>
  <si>
    <t>Sierra</t>
  </si>
  <si>
    <t>Wojtas</t>
  </si>
  <si>
    <t>Capewell</t>
  </si>
  <si>
    <t>Parkes</t>
  </si>
  <si>
    <t>Head of Service Delivery</t>
  </si>
  <si>
    <t>Crow</t>
  </si>
  <si>
    <t>Rizwan</t>
  </si>
  <si>
    <t>Malik</t>
  </si>
  <si>
    <t>Senior Developer/Programmer</t>
  </si>
  <si>
    <t>Rautenbach</t>
  </si>
  <si>
    <t>Rautie</t>
  </si>
  <si>
    <t>Celmer</t>
  </si>
  <si>
    <t>Gabrieli</t>
  </si>
  <si>
    <t>Meates</t>
  </si>
  <si>
    <t>Harriet</t>
  </si>
  <si>
    <t>Arthur</t>
  </si>
  <si>
    <t>Palavarapu</t>
  </si>
  <si>
    <t>Samskar</t>
  </si>
  <si>
    <t>Fayyaz</t>
  </si>
  <si>
    <t>Asif</t>
  </si>
  <si>
    <t>Al Talabani</t>
  </si>
  <si>
    <t>Azad</t>
  </si>
  <si>
    <t>Macaskill</t>
  </si>
  <si>
    <t>Janet</t>
  </si>
  <si>
    <t>Head of People &amp; Culture</t>
  </si>
  <si>
    <t>Doran</t>
  </si>
  <si>
    <t>Principal Business Analyst/Consultant</t>
  </si>
  <si>
    <t>Kurzawinska</t>
  </si>
  <si>
    <t>Dorota</t>
  </si>
  <si>
    <t>Ellis</t>
  </si>
  <si>
    <t>De Wet</t>
  </si>
  <si>
    <t>Fairmaid</t>
  </si>
  <si>
    <t>Infrastructure Service Delivery Manager</t>
  </si>
  <si>
    <t>van der Colff</t>
  </si>
  <si>
    <t>Andre</t>
  </si>
  <si>
    <t>Burnett</t>
  </si>
  <si>
    <t>Kirsty</t>
  </si>
  <si>
    <t>Kappatos</t>
  </si>
  <si>
    <t>Elly</t>
  </si>
  <si>
    <t>Tax Consultant</t>
  </si>
  <si>
    <t>Seymour</t>
  </si>
  <si>
    <t>Jade</t>
  </si>
  <si>
    <t>O’Brien</t>
  </si>
  <si>
    <t>Strachan</t>
  </si>
  <si>
    <t>Poulin</t>
  </si>
  <si>
    <t>Annie</t>
  </si>
  <si>
    <t>Wali</t>
  </si>
  <si>
    <t>Treier</t>
  </si>
  <si>
    <t>Florian</t>
  </si>
  <si>
    <t>Engineering Lead, Europe</t>
  </si>
  <si>
    <t>Roberts</t>
  </si>
  <si>
    <t>Casapiccola</t>
  </si>
  <si>
    <t>Giada</t>
  </si>
  <si>
    <t>Release Analyst</t>
  </si>
  <si>
    <t>Vidovic</t>
  </si>
  <si>
    <t>Nina</t>
  </si>
  <si>
    <t>Clifford</t>
  </si>
  <si>
    <t xml:space="preserve">Business Development Manager, Sales and Marketing </t>
  </si>
  <si>
    <t>Palezevic</t>
  </si>
  <si>
    <t>Recruitment &amp; Capability Manager</t>
  </si>
  <si>
    <t>Ferguson</t>
  </si>
  <si>
    <t>People &amp; Culture Advisor</t>
  </si>
  <si>
    <t>Caronongan</t>
  </si>
  <si>
    <t>Jovy Ann</t>
  </si>
  <si>
    <t>Salvo_old</t>
  </si>
  <si>
    <t>Intermediate Developer</t>
  </si>
  <si>
    <t>Brown</t>
  </si>
  <si>
    <t>Tomas</t>
  </si>
  <si>
    <t>Design Coordinator</t>
  </si>
  <si>
    <t>Jensen</t>
  </si>
  <si>
    <t>Armel</t>
  </si>
  <si>
    <t>Peacock</t>
  </si>
  <si>
    <t>Lauren</t>
  </si>
  <si>
    <t>Pretorius</t>
  </si>
  <si>
    <t>Juhanita</t>
  </si>
  <si>
    <t>O'Shea</t>
  </si>
  <si>
    <t>de Guzman</t>
  </si>
  <si>
    <t>Kitchie</t>
  </si>
  <si>
    <t>Arzola</t>
  </si>
  <si>
    <t>Vithal</t>
  </si>
  <si>
    <t>Khallum</t>
  </si>
  <si>
    <t>Facilities Assistant</t>
  </si>
  <si>
    <t>Basil-Jones</t>
  </si>
  <si>
    <t>Cathy</t>
  </si>
  <si>
    <t>Database Administrator</t>
  </si>
  <si>
    <t>Gough</t>
  </si>
  <si>
    <t>Nick</t>
  </si>
  <si>
    <t>Reyes</t>
  </si>
  <si>
    <t>Hannah</t>
  </si>
  <si>
    <t>Chung</t>
  </si>
  <si>
    <t>Simon</t>
  </si>
  <si>
    <t>Lisin</t>
  </si>
  <si>
    <t>Alexander</t>
  </si>
  <si>
    <t>Gupta</t>
  </si>
  <si>
    <t>Sahil</t>
  </si>
  <si>
    <t>Adams_old</t>
  </si>
  <si>
    <t>Rachel_old</t>
  </si>
  <si>
    <t>Salvo</t>
  </si>
  <si>
    <t>Gonyora</t>
  </si>
  <si>
    <t>Justice</t>
  </si>
  <si>
    <t>O’Connor</t>
  </si>
  <si>
    <t>Junior Test Analyst</t>
  </si>
  <si>
    <t>Whitehead</t>
  </si>
  <si>
    <t>Nagtilak</t>
  </si>
  <si>
    <t>Fernandez</t>
  </si>
  <si>
    <t>Le</t>
  </si>
  <si>
    <t>Vinh Quang</t>
  </si>
  <si>
    <t>Bandaru</t>
  </si>
  <si>
    <t>Hemmings</t>
  </si>
  <si>
    <t>Bradford</t>
  </si>
  <si>
    <t>People Lead</t>
  </si>
  <si>
    <t>McGrannachan</t>
  </si>
  <si>
    <t>Sinead</t>
  </si>
  <si>
    <t>Support Coordinator</t>
  </si>
  <si>
    <t>Anderson</t>
  </si>
  <si>
    <t>Zac</t>
  </si>
  <si>
    <t>Baines</t>
  </si>
  <si>
    <t>Senior Support Coordinator</t>
  </si>
  <si>
    <t>Liang</t>
  </si>
  <si>
    <t>William</t>
  </si>
  <si>
    <t>Bird</t>
  </si>
  <si>
    <t>Barnes</t>
  </si>
  <si>
    <t>Gibson</t>
  </si>
  <si>
    <t>Business Coordinator</t>
  </si>
  <si>
    <t>Sood</t>
  </si>
  <si>
    <t>Ranchhod</t>
  </si>
  <si>
    <t>Nikita</t>
  </si>
  <si>
    <t>Noll</t>
  </si>
  <si>
    <t>Silke</t>
  </si>
  <si>
    <t>Currin</t>
  </si>
  <si>
    <t>Holly</t>
  </si>
  <si>
    <t>Triage Coordinator</t>
  </si>
  <si>
    <t>O'Byrne</t>
  </si>
  <si>
    <t>Berrosteguieta</t>
  </si>
  <si>
    <t>Ignacio</t>
  </si>
  <si>
    <t>Galt</t>
  </si>
  <si>
    <t>Upendra</t>
  </si>
  <si>
    <t>Chanaka</t>
  </si>
  <si>
    <t>Senior Developer Consultant</t>
  </si>
  <si>
    <t>Wolmarans</t>
  </si>
  <si>
    <t>Burston</t>
  </si>
  <si>
    <t>Rachael</t>
  </si>
  <si>
    <t>Kwang</t>
  </si>
  <si>
    <t>Pallikaros</t>
  </si>
  <si>
    <t>George</t>
  </si>
  <si>
    <t>Norkunas</t>
  </si>
  <si>
    <t>Peter</t>
  </si>
  <si>
    <t>Contracts Management Consultant</t>
  </si>
  <si>
    <t>Moller</t>
  </si>
  <si>
    <t>Rex</t>
  </si>
  <si>
    <t>Taylor</t>
  </si>
  <si>
    <t>Aitken</t>
  </si>
  <si>
    <t>Shelly</t>
  </si>
  <si>
    <t>Allen</t>
  </si>
  <si>
    <t>Halstead</t>
  </si>
  <si>
    <t>Ella</t>
  </si>
  <si>
    <t>Marketing &amp; Communications</t>
  </si>
  <si>
    <t>Training Manager</t>
  </si>
  <si>
    <t>Baranovskaya</t>
  </si>
  <si>
    <t>Olga</t>
  </si>
  <si>
    <t>Araza</t>
  </si>
  <si>
    <t>Ariel</t>
  </si>
  <si>
    <t>Su</t>
  </si>
  <si>
    <t>Liew</t>
  </si>
  <si>
    <t>Edmond</t>
  </si>
  <si>
    <t>Natoli</t>
  </si>
  <si>
    <t>Gemma</t>
  </si>
  <si>
    <t>Meyer</t>
  </si>
  <si>
    <t>Steevens</t>
  </si>
  <si>
    <t>Chief Financial Officer</t>
  </si>
  <si>
    <t>McIlvride</t>
  </si>
  <si>
    <t>Baeram</t>
  </si>
  <si>
    <t>Denisse</t>
  </si>
  <si>
    <t>Cheang</t>
  </si>
  <si>
    <t>Ha</t>
  </si>
  <si>
    <t>Evans</t>
  </si>
  <si>
    <t>Business Coordinator – Leadership Support</t>
  </si>
  <si>
    <t>Gardner</t>
  </si>
  <si>
    <t>Gabrielle</t>
  </si>
  <si>
    <t>Warner</t>
  </si>
  <si>
    <t>Kat</t>
  </si>
  <si>
    <t>Pearse</t>
  </si>
  <si>
    <t>Training Content Writer</t>
  </si>
  <si>
    <t>Kanjanakhajohnsak</t>
  </si>
  <si>
    <t>Preawwanit</t>
  </si>
  <si>
    <t>Connor</t>
  </si>
  <si>
    <t>Basil</t>
  </si>
  <si>
    <t>Aruldasan</t>
  </si>
  <si>
    <t>Mazur</t>
  </si>
  <si>
    <t>Servante-Freeman</t>
  </si>
  <si>
    <t>Olivia</t>
  </si>
  <si>
    <t>Training Coordinator</t>
  </si>
  <si>
    <t>McCready</t>
  </si>
  <si>
    <t>Senior Consultant</t>
  </si>
  <si>
    <t>Kanimea</t>
  </si>
  <si>
    <t>Brooker</t>
  </si>
  <si>
    <t>Margaret</t>
  </si>
  <si>
    <t>Proposal Content Writer</t>
  </si>
  <si>
    <t>Jeelall</t>
  </si>
  <si>
    <t>Mohaneesh</t>
  </si>
  <si>
    <t>Stimson</t>
  </si>
  <si>
    <t>Dhonukshe</t>
  </si>
  <si>
    <t>Khaleghparast</t>
  </si>
  <si>
    <t>Reza</t>
  </si>
  <si>
    <t>Senior Information Security Advisor</t>
  </si>
  <si>
    <t>Cherry</t>
  </si>
  <si>
    <t>Strawbridge</t>
  </si>
  <si>
    <t>Software Developer - Intern</t>
  </si>
  <si>
    <t>Jury</t>
  </si>
  <si>
    <t>Lukas</t>
  </si>
  <si>
    <t>Foulkes</t>
  </si>
  <si>
    <t>Kian</t>
  </si>
  <si>
    <t>Bodley-Davies</t>
  </si>
  <si>
    <t>Navadiya</t>
  </si>
  <si>
    <t>Robson</t>
  </si>
  <si>
    <t>Roza</t>
  </si>
  <si>
    <t>Gordhan</t>
  </si>
  <si>
    <t>Krishan</t>
  </si>
  <si>
    <t>Schmidt</t>
  </si>
  <si>
    <t>Matthew</t>
  </si>
  <si>
    <t>Holman</t>
  </si>
  <si>
    <t>Nicole</t>
  </si>
  <si>
    <t>Parikh</t>
  </si>
  <si>
    <t>Ripal</t>
  </si>
  <si>
    <t>Krinkel</t>
  </si>
  <si>
    <t>People Leader</t>
  </si>
  <si>
    <t>Garcia</t>
  </si>
  <si>
    <t>Minette</t>
  </si>
  <si>
    <t>Li</t>
  </si>
  <si>
    <t>Kaur</t>
  </si>
  <si>
    <t>Test Analyst - Intern</t>
  </si>
  <si>
    <t>Joseph</t>
  </si>
  <si>
    <t>Jinu</t>
  </si>
  <si>
    <t>Ganesan</t>
  </si>
  <si>
    <t>Kishore Kumar</t>
  </si>
  <si>
    <t>Archbold</t>
  </si>
  <si>
    <t>Didar</t>
  </si>
  <si>
    <t>Mohammad</t>
  </si>
  <si>
    <t>Kaniyappa</t>
  </si>
  <si>
    <t>Gilges-Richards</t>
  </si>
  <si>
    <t>Giuliana</t>
  </si>
  <si>
    <t>Senior Marketing &amp; Communications Advisor</t>
  </si>
  <si>
    <t>Pookot Alanchery</t>
  </si>
  <si>
    <t>Balasoorya</t>
  </si>
  <si>
    <t>Business Analyst - Intern</t>
  </si>
  <si>
    <t>Sharma</t>
  </si>
  <si>
    <t>Piyush</t>
  </si>
  <si>
    <t>Princy</t>
  </si>
  <si>
    <t>Tapa</t>
  </si>
  <si>
    <t>Walsh</t>
  </si>
  <si>
    <t>Alena</t>
  </si>
  <si>
    <t>De Jonk</t>
  </si>
  <si>
    <t>Conefrey</t>
  </si>
  <si>
    <t>Caitriona</t>
  </si>
  <si>
    <t>Product Designer</t>
  </si>
  <si>
    <t>Youngquest</t>
  </si>
  <si>
    <t>Alice</t>
  </si>
  <si>
    <t>Heitmann</t>
  </si>
  <si>
    <t>Grady</t>
  </si>
  <si>
    <t>Desbele</t>
  </si>
  <si>
    <t>Meles</t>
  </si>
  <si>
    <t>Peramas</t>
  </si>
  <si>
    <t>Jorge</t>
  </si>
  <si>
    <t>Tamalii</t>
  </si>
  <si>
    <t>Jesse</t>
  </si>
  <si>
    <t>Training Facilitator</t>
  </si>
  <si>
    <t>Phee</t>
  </si>
  <si>
    <t>Tiwari</t>
  </si>
  <si>
    <t>Mangi</t>
  </si>
  <si>
    <t>Young</t>
  </si>
  <si>
    <t>Scott</t>
  </si>
  <si>
    <t>Martin Lope</t>
  </si>
  <si>
    <t>Sales and Communications Advisor</t>
  </si>
  <si>
    <t>Easton</t>
  </si>
  <si>
    <t>Campbell</t>
  </si>
  <si>
    <t>Natalie</t>
  </si>
  <si>
    <t>Recruitment Administrator</t>
  </si>
  <si>
    <t>Josh</t>
  </si>
  <si>
    <t>IT Trainee</t>
  </si>
  <si>
    <t>Ejeta</t>
  </si>
  <si>
    <t>Narula</t>
  </si>
  <si>
    <t>Daman</t>
  </si>
  <si>
    <t>Neville</t>
  </si>
  <si>
    <t>du Toit</t>
  </si>
  <si>
    <t>Hawkes</t>
  </si>
  <si>
    <t>Patel</t>
  </si>
  <si>
    <t>Seth</t>
  </si>
  <si>
    <t>Miguel</t>
  </si>
  <si>
    <t>Rodriguez</t>
  </si>
  <si>
    <t>Juan</t>
  </si>
  <si>
    <t>Gaurav</t>
  </si>
  <si>
    <t>McDermott</t>
  </si>
  <si>
    <t>Jannu</t>
  </si>
  <si>
    <t>Ramya</t>
  </si>
  <si>
    <t>Adams</t>
  </si>
  <si>
    <t>Senior Developer/Consultant</t>
  </si>
  <si>
    <t>Serapio</t>
  </si>
  <si>
    <t>Norris</t>
  </si>
  <si>
    <t>Recruitment Coordinator</t>
  </si>
  <si>
    <t>Pabbisetty</t>
  </si>
  <si>
    <t>Supriya</t>
  </si>
  <si>
    <t>Test Analyst (Contractor)</t>
  </si>
  <si>
    <t>Chen</t>
  </si>
  <si>
    <t>Pac</t>
  </si>
  <si>
    <t>Coombs</t>
  </si>
  <si>
    <t>Nathan</t>
  </si>
  <si>
    <t>Dreffier</t>
  </si>
  <si>
    <t>Marie</t>
  </si>
  <si>
    <t>Coordinator - Intern</t>
  </si>
  <si>
    <t>Williamson</t>
  </si>
  <si>
    <t>Tanya</t>
  </si>
  <si>
    <t>Gerritsen</t>
  </si>
  <si>
    <t>Theo</t>
  </si>
  <si>
    <t>Bree</t>
  </si>
  <si>
    <t>Nicol</t>
  </si>
  <si>
    <t>Wickens</t>
  </si>
  <si>
    <t>Sophie</t>
  </si>
  <si>
    <t>Graphic Designer - Intern</t>
  </si>
  <si>
    <t>Flannery</t>
  </si>
  <si>
    <t>Business Improvement Consultant</t>
  </si>
  <si>
    <t>Brantley</t>
  </si>
  <si>
    <t>Callaghan</t>
  </si>
  <si>
    <t>Jenny</t>
  </si>
  <si>
    <t>Mitchell</t>
  </si>
  <si>
    <t>Akkidou</t>
  </si>
  <si>
    <t>Natasa</t>
  </si>
  <si>
    <t>Barreto</t>
  </si>
  <si>
    <t>Bianca</t>
  </si>
  <si>
    <t>Hamlin-Tuck</t>
  </si>
  <si>
    <t>Angie</t>
  </si>
  <si>
    <t>Twist</t>
  </si>
  <si>
    <t>Keita</t>
  </si>
  <si>
    <t>Sagar</t>
  </si>
  <si>
    <t>Alexandra</t>
  </si>
  <si>
    <t>O'Brien</t>
  </si>
  <si>
    <t>Gerard</t>
  </si>
  <si>
    <t>Document/Content Writer</t>
  </si>
  <si>
    <t>Samaraie</t>
  </si>
  <si>
    <t>Sam</t>
  </si>
  <si>
    <t>Joanna</t>
  </si>
  <si>
    <t>Stanford</t>
  </si>
  <si>
    <t>Gareth</t>
  </si>
  <si>
    <t>Bremner</t>
  </si>
  <si>
    <t>Paxton</t>
  </si>
  <si>
    <t>Cindy</t>
  </si>
  <si>
    <t>Senior Project Managers</t>
  </si>
  <si>
    <t>Holtzhausen</t>
  </si>
  <si>
    <t>Jan</t>
  </si>
  <si>
    <t>McArthur</t>
  </si>
  <si>
    <t>Planner / Scheduler</t>
  </si>
  <si>
    <t>Guha</t>
  </si>
  <si>
    <t>Keziah</t>
  </si>
  <si>
    <t>Information Security Advisor</t>
  </si>
  <si>
    <t>Bell</t>
  </si>
  <si>
    <t>Support Advisor</t>
  </si>
  <si>
    <t>Poppy</t>
  </si>
  <si>
    <t>Translation Services</t>
  </si>
  <si>
    <t>Simpson</t>
  </si>
  <si>
    <t>Phillip</t>
  </si>
  <si>
    <t>Product Specification Lead</t>
  </si>
  <si>
    <t>Dickson</t>
  </si>
  <si>
    <t>Senior Business Improvement Consultant</t>
  </si>
  <si>
    <t>Roychowdhury</t>
  </si>
  <si>
    <t>Amrita</t>
  </si>
  <si>
    <t>Hirst</t>
  </si>
  <si>
    <t>Lynette</t>
  </si>
  <si>
    <t>Robin</t>
  </si>
  <si>
    <t>Zhou</t>
  </si>
  <si>
    <t>Munt</t>
  </si>
  <si>
    <t>Mackenzie</t>
  </si>
  <si>
    <t>Digital Consultant</t>
  </si>
  <si>
    <t>Christie</t>
  </si>
  <si>
    <t>Gerry</t>
  </si>
  <si>
    <t>Korovou</t>
  </si>
  <si>
    <t>Despiona</t>
  </si>
  <si>
    <t>Yates</t>
  </si>
  <si>
    <t>Cameron</t>
  </si>
  <si>
    <t>Triage Coordinator - Jersey</t>
  </si>
  <si>
    <t>Ekman</t>
  </si>
  <si>
    <t>Developer/Consultant</t>
  </si>
  <si>
    <t>Steevens- Old</t>
  </si>
  <si>
    <t>Kylie- Old</t>
  </si>
  <si>
    <t>Accountant - Reporting Transformation</t>
  </si>
  <si>
    <t>Georgiou</t>
  </si>
  <si>
    <t>Kiourti</t>
  </si>
  <si>
    <t>Bhula</t>
  </si>
  <si>
    <t>Renuka</t>
  </si>
  <si>
    <t>Principal Test Consultant</t>
  </si>
  <si>
    <t>Neupane</t>
  </si>
  <si>
    <t>Damodar</t>
  </si>
  <si>
    <t>Fowler</t>
  </si>
  <si>
    <t>Dion</t>
  </si>
  <si>
    <t>Junior Graphic Designer</t>
  </si>
  <si>
    <t>Kirsten</t>
  </si>
  <si>
    <t>Project Management People Lead</t>
  </si>
  <si>
    <t>Edgerley</t>
  </si>
  <si>
    <t>Grace</t>
  </si>
  <si>
    <t>Senior Business Intelligence Data Engineer</t>
  </si>
  <si>
    <t>Brookie</t>
  </si>
  <si>
    <t>Triage Lead</t>
  </si>
  <si>
    <t>void_Sood</t>
  </si>
  <si>
    <t>void_Tripti</t>
  </si>
  <si>
    <t>Paki</t>
  </si>
  <si>
    <t>Ung</t>
  </si>
  <si>
    <t>Sean</t>
  </si>
  <si>
    <t>Data Reporting Engineer - Developer</t>
  </si>
  <si>
    <t>Sharland</t>
  </si>
  <si>
    <t>Cory</t>
  </si>
  <si>
    <t>Client Support Team Leader</t>
  </si>
  <si>
    <t>Coney</t>
  </si>
  <si>
    <t>Hamish</t>
  </si>
  <si>
    <t>Senior Infrastructure Consultant</t>
  </si>
  <si>
    <t>Verma</t>
  </si>
  <si>
    <t>Akhilesh</t>
  </si>
  <si>
    <t>Pernecita</t>
  </si>
  <si>
    <t>Nair</t>
  </si>
  <si>
    <t>Krishnan</t>
  </si>
  <si>
    <t>Developer / Consultant, Europe</t>
  </si>
  <si>
    <t>Lyssiotis</t>
  </si>
  <si>
    <t>Shawn</t>
  </si>
  <si>
    <t>Walker</t>
  </si>
  <si>
    <t>Clowes</t>
  </si>
  <si>
    <t>Cerys</t>
  </si>
  <si>
    <t>Du</t>
  </si>
  <si>
    <t>Morrison</t>
  </si>
  <si>
    <t>Head of People, Engineering</t>
  </si>
  <si>
    <t>Papapavlou</t>
  </si>
  <si>
    <t>Dahya</t>
  </si>
  <si>
    <t>Rajan</t>
  </si>
  <si>
    <t>Thandavan</t>
  </si>
  <si>
    <t>Whitmore</t>
  </si>
  <si>
    <t>Liu</t>
  </si>
  <si>
    <t>Andy</t>
  </si>
  <si>
    <t>Senior Developer/ Consultant</t>
  </si>
  <si>
    <t>Hoshani</t>
  </si>
  <si>
    <t>Hanrahan</t>
  </si>
  <si>
    <t>de Bruyn</t>
  </si>
  <si>
    <t>Sablok</t>
  </si>
  <si>
    <t>Abhinav</t>
  </si>
  <si>
    <t>Mestvirishvili</t>
  </si>
  <si>
    <t>Junior DevOps Engineer</t>
  </si>
  <si>
    <t>Carter</t>
  </si>
  <si>
    <t>Baty</t>
  </si>
  <si>
    <t>Rhea</t>
  </si>
  <si>
    <t>Dey</t>
  </si>
  <si>
    <t>Malhotra</t>
  </si>
  <si>
    <t>Mridul</t>
  </si>
  <si>
    <t>Sachdeva</t>
  </si>
  <si>
    <t>Nguyen</t>
  </si>
  <si>
    <t>Binh</t>
  </si>
  <si>
    <t>Eastlake</t>
  </si>
  <si>
    <t>Belov</t>
  </si>
  <si>
    <t>Aleksey</t>
  </si>
  <si>
    <t>DBA - Intern</t>
  </si>
  <si>
    <t>Hoque</t>
  </si>
  <si>
    <t>Ishmam</t>
  </si>
  <si>
    <t>Junior Systems Administrator</t>
  </si>
  <si>
    <t>Jara</t>
  </si>
  <si>
    <t>Paula</t>
  </si>
  <si>
    <t>Administration Manager / HR Projects</t>
  </si>
  <si>
    <t>Panda</t>
  </si>
  <si>
    <t>Head of Implementation</t>
  </si>
  <si>
    <t>Girish</t>
  </si>
  <si>
    <t>Bandara</t>
  </si>
  <si>
    <t>Susitha</t>
  </si>
  <si>
    <t>Taneza</t>
  </si>
  <si>
    <t>Talwar</t>
  </si>
  <si>
    <t>Rakesh</t>
  </si>
  <si>
    <t>Security Analyst</t>
  </si>
  <si>
    <t>Socias</t>
  </si>
  <si>
    <t>Norman</t>
  </si>
  <si>
    <t>Service Delivery Manager</t>
  </si>
  <si>
    <t>Watkins</t>
  </si>
  <si>
    <t>Linda</t>
  </si>
  <si>
    <t>Beaulieu</t>
  </si>
  <si>
    <t>De Silva</t>
  </si>
  <si>
    <t>Garro</t>
  </si>
  <si>
    <t>Danny</t>
  </si>
  <si>
    <t>Ureña</t>
  </si>
  <si>
    <t>Calderón</t>
  </si>
  <si>
    <t>Adriel</t>
  </si>
  <si>
    <t>Trinidad-García</t>
  </si>
  <si>
    <t>Campos</t>
  </si>
  <si>
    <t>Dusting</t>
  </si>
  <si>
    <t>Ching-Vargas</t>
  </si>
  <si>
    <t>Casanova</t>
  </si>
  <si>
    <t>Álvarez-Gómez</t>
  </si>
  <si>
    <t>Saied</t>
  </si>
  <si>
    <t>Hart</t>
  </si>
  <si>
    <t>King</t>
  </si>
  <si>
    <t>Nyker</t>
  </si>
  <si>
    <t>Kulasinghe</t>
  </si>
  <si>
    <t>Blanco</t>
  </si>
  <si>
    <t>Orense</t>
  </si>
  <si>
    <t>Derick</t>
  </si>
  <si>
    <t>Zivkovic</t>
  </si>
  <si>
    <t>Proposal Technical Lead and Writer</t>
  </si>
  <si>
    <t>Ceballos</t>
  </si>
  <si>
    <t>Sonia</t>
  </si>
  <si>
    <t>Donald</t>
  </si>
  <si>
    <t>Rajamani</t>
  </si>
  <si>
    <t>Sai Shivkumar</t>
  </si>
  <si>
    <t>Artymiak</t>
  </si>
  <si>
    <t>Gilbertson</t>
  </si>
  <si>
    <t>Ruvando</t>
  </si>
  <si>
    <t>Gunathilaka</t>
  </si>
  <si>
    <t>Saik</t>
  </si>
  <si>
    <t>Moor</t>
  </si>
  <si>
    <t>Tyler</t>
  </si>
  <si>
    <t>Panton</t>
  </si>
  <si>
    <t>Chauhan</t>
  </si>
  <si>
    <t>Savvia</t>
  </si>
  <si>
    <t>Antonia</t>
  </si>
  <si>
    <t>Junior Project Manager-Cyprus</t>
  </si>
  <si>
    <t>Keane</t>
  </si>
  <si>
    <t>Data &amp; Reporting Analyst</t>
  </si>
  <si>
    <t>Bianchi</t>
  </si>
  <si>
    <t>Jessica</t>
  </si>
  <si>
    <t>Carlyle</t>
  </si>
  <si>
    <t>Vasileiou</t>
  </si>
  <si>
    <t>Stefos</t>
  </si>
  <si>
    <t>Konstantinos</t>
  </si>
  <si>
    <t>Senior Business Analyst, Cyprus</t>
  </si>
  <si>
    <t>Woods</t>
  </si>
  <si>
    <t>Hughes</t>
  </si>
  <si>
    <t>IT Security Manager</t>
  </si>
  <si>
    <t>Viswanathan</t>
  </si>
  <si>
    <t>Griffin</t>
  </si>
  <si>
    <t>Gill</t>
  </si>
  <si>
    <t>Shortland</t>
  </si>
  <si>
    <t>Trigueros Cruz</t>
  </si>
  <si>
    <t>Gustavo</t>
  </si>
  <si>
    <t>Castillo</t>
  </si>
  <si>
    <t>Zorlis</t>
  </si>
  <si>
    <t>Murphy</t>
  </si>
  <si>
    <t>Barbara</t>
  </si>
  <si>
    <t>Sumner</t>
  </si>
  <si>
    <t>Rattanong</t>
  </si>
  <si>
    <t>Hamilton</t>
  </si>
  <si>
    <t>Penn</t>
  </si>
  <si>
    <t>Jarquin</t>
  </si>
  <si>
    <t>Wanigarathne</t>
  </si>
  <si>
    <t>Hulst</t>
  </si>
  <si>
    <t>Nicky Van</t>
  </si>
  <si>
    <t>Ballestero</t>
  </si>
  <si>
    <t>Kay</t>
  </si>
  <si>
    <t>Lapertas</t>
  </si>
  <si>
    <t>Adikari</t>
  </si>
  <si>
    <t>Isuruwan</t>
  </si>
  <si>
    <t>Head of Implementation, Asia/Pacific</t>
  </si>
  <si>
    <t>Senanayaka</t>
  </si>
  <si>
    <t>Demsar</t>
  </si>
  <si>
    <t>Jose Nichilas</t>
  </si>
  <si>
    <t>Glasgow</t>
  </si>
  <si>
    <t>Learner Designer</t>
  </si>
  <si>
    <t>Spiers</t>
  </si>
  <si>
    <t>Permana</t>
  </si>
  <si>
    <t>McDowell</t>
  </si>
  <si>
    <t>Hatchwell</t>
  </si>
  <si>
    <t>Maya</t>
  </si>
  <si>
    <t>Ahmed</t>
  </si>
  <si>
    <t>Kamalakar</t>
  </si>
  <si>
    <t>POC</t>
  </si>
  <si>
    <t>Dummy</t>
  </si>
  <si>
    <t>Michail</t>
  </si>
  <si>
    <t>Ali</t>
  </si>
  <si>
    <t>Chandima</t>
  </si>
  <si>
    <t>Virtue</t>
  </si>
  <si>
    <t>Project Director</t>
  </si>
  <si>
    <t>Childs</t>
  </si>
  <si>
    <t>Accountant – Reporting Transformation</t>
  </si>
  <si>
    <t>Infrastructure Automation Engineer</t>
  </si>
  <si>
    <t>Anntharshika</t>
  </si>
  <si>
    <t>Project &amp; Services Coordinator</t>
  </si>
  <si>
    <t>Christine</t>
  </si>
  <si>
    <t>Senior DeOps Engineer</t>
  </si>
  <si>
    <t>Implementation Consultant</t>
  </si>
  <si>
    <t>Vice President of Advisory, Data &amp; AI</t>
  </si>
  <si>
    <t>Sharleen</t>
  </si>
  <si>
    <t>Head of Finance</t>
  </si>
  <si>
    <t>Strategic Advisor</t>
  </si>
  <si>
    <t>Jonatan</t>
  </si>
  <si>
    <t>Nipun</t>
  </si>
  <si>
    <t>Thilanka</t>
  </si>
  <si>
    <t>Amarasinghe_x000D_
Amarasinghe</t>
  </si>
  <si>
    <t>Not broken down by client (RMS/TMS) or support vs project</t>
  </si>
  <si>
    <t>Regional totals do not include VPs</t>
  </si>
  <si>
    <t xml:space="preserve">Other business unit breakdown rows are hidden </t>
  </si>
  <si>
    <t>(All)</t>
  </si>
  <si>
    <t>Testers</t>
  </si>
  <si>
    <t>%</t>
  </si>
  <si>
    <t xml:space="preserve">Leave plus internal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</si>
  <si>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</si>
  <si>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</si>
  <si>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</si>
  <si>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</si>
  <si>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</si>
  <si>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</si>
  <si>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</si>
  <si>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</si>
  <si>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</si>
  <si>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</si>
  <si>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</si>
  <si>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Previous Engineering people allocations to May 2024</t>
  </si>
  <si>
    <t>https://datatorque.sharepoint.com/:x:/s/BusinessImprovementPlanningteamBIP-PlanningTeam/EQZSVCrn7i5Opm0jpkbX7XABzywEeFFT3vlGsTfj_g3nGg?e=s0b2Ts</t>
  </si>
  <si>
    <t>Discussed with Diana</t>
  </si>
  <si>
    <t>Currently recruiting:</t>
  </si>
  <si>
    <t>Senior Developer (6-8)</t>
  </si>
  <si>
    <t>Review at signing alignment for new starters; review numbers after each hire</t>
  </si>
  <si>
    <t>Senior Test Analyst (4)</t>
  </si>
  <si>
    <t>Infrastructure Platform Engineer</t>
  </si>
  <si>
    <t>IT Project Director</t>
  </si>
  <si>
    <t>Bhutan?</t>
  </si>
  <si>
    <t>New structure alignment effective from 24 May 2024</t>
  </si>
  <si>
    <t>New Line Manager - Day 1 24/5/24</t>
  </si>
  <si>
    <t>Aidan Wojtas</t>
  </si>
  <si>
    <t>Technology - DBAs</t>
  </si>
  <si>
    <t>Service Dellivery Lead, Cyprus</t>
  </si>
  <si>
    <t>Christos Lyssiotis</t>
  </si>
  <si>
    <t>Cyprus - Service Delivery</t>
  </si>
  <si>
    <t>Head of DevOps</t>
  </si>
  <si>
    <t>Junior Project Manager</t>
  </si>
  <si>
    <t>Bang Du</t>
  </si>
  <si>
    <t xml:space="preserve">Cyprus </t>
  </si>
  <si>
    <t>Fiona Grant</t>
  </si>
  <si>
    <t>Cook Is.</t>
  </si>
  <si>
    <t>Tripti Sood</t>
  </si>
  <si>
    <t>Cook Is. / Solomon Is.</t>
  </si>
  <si>
    <t xml:space="preserve">Developer </t>
  </si>
  <si>
    <t>Jayesh Ravla</t>
  </si>
  <si>
    <t>Online Zephyr squad</t>
  </si>
  <si>
    <t>Europe Region</t>
  </si>
  <si>
    <t>BOT Zephyr squad</t>
  </si>
  <si>
    <t>Jersey Tech Lead; Needs to come out of Jersey at Aug GL of CER/overprocessing</t>
  </si>
  <si>
    <t>Transition / handover when Cath starts</t>
  </si>
  <si>
    <t>Liv Norman</t>
  </si>
  <si>
    <t>Original contract 14/3/24- 20/6/24 then starts permanent role</t>
  </si>
  <si>
    <t>Data and Reporting Analyst</t>
  </si>
  <si>
    <t>22/4/2024</t>
  </si>
  <si>
    <t>Product Design</t>
  </si>
  <si>
    <t>New Zealand*</t>
  </si>
  <si>
    <t>Currently remote from Malaysia, likely to return to NZ by November</t>
  </si>
  <si>
    <t>Head of Implementation Europe</t>
  </si>
  <si>
    <t>Contractor - Contract ends 22/8/2024</t>
  </si>
  <si>
    <t>Business Development Manager, Sales and Marketing Group</t>
  </si>
  <si>
    <t>Service delivery</t>
  </si>
  <si>
    <t>Likely Guyana Tech Lead?</t>
  </si>
  <si>
    <t>CLARE</t>
  </si>
  <si>
    <t>Cyprus Sprint 2 Go-Live</t>
  </si>
  <si>
    <t>CEO team</t>
  </si>
  <si>
    <t>Jill Walker</t>
  </si>
  <si>
    <t>Finance &amp; Porfolio planning and reporting</t>
  </si>
  <si>
    <t>Raymond Marshall</t>
  </si>
  <si>
    <t>Office Administrator</t>
  </si>
  <si>
    <t xml:space="preserve">Service Delivery </t>
  </si>
  <si>
    <t>IOM Tech Lead</t>
  </si>
  <si>
    <t>Previously Online - Engineering reconfiguring their teams TBC</t>
  </si>
  <si>
    <t>Ostro squad</t>
  </si>
  <si>
    <t>Noel Griffin</t>
  </si>
  <si>
    <t>VP Finance and Shared Services</t>
  </si>
  <si>
    <t>IOM P2 GL - but fixed date</t>
  </si>
  <si>
    <t>Transition underway</t>
  </si>
  <si>
    <t>Head of Implementation, Asia Pacific</t>
  </si>
  <si>
    <t>Returned from long term leave 17/6</t>
  </si>
  <si>
    <t>Head of Implementation Support</t>
  </si>
  <si>
    <t>TBC</t>
  </si>
  <si>
    <t>1/17/2022</t>
  </si>
  <si>
    <t>VP Europe</t>
  </si>
  <si>
    <t>Bahamas &amp; Solomon Is.</t>
  </si>
  <si>
    <t>21/6 Now agreed that Shu will transition earlier to Americas - under discussion with Richard/Tripti</t>
  </si>
  <si>
    <t>BERGMAN</t>
  </si>
  <si>
    <t>Americas &amp; Asia Pacific</t>
  </si>
  <si>
    <t>Pollob Sharma ? TBC</t>
  </si>
  <si>
    <t>24/6 now permanently aligned with Asia Pacific (Shona). Was part-time with APAC until Solomons P1 GL 7/7/24</t>
  </si>
  <si>
    <t>Sales &amp; Communications Advisor</t>
  </si>
  <si>
    <t>Previously BOT - Engineering reconfiguring their teams TBC</t>
  </si>
  <si>
    <t>Partners / External consultants</t>
  </si>
  <si>
    <t>Peter Norkunas</t>
  </si>
  <si>
    <t>Requests / TBC</t>
  </si>
  <si>
    <t>Old version - Engineering people allocations</t>
  </si>
  <si>
    <t>Date</t>
  </si>
  <si>
    <t>From</t>
  </si>
  <si>
    <t>Re role/who</t>
  </si>
  <si>
    <t>To</t>
  </si>
  <si>
    <t>Project / team / details</t>
  </si>
  <si>
    <t>Outcome</t>
  </si>
  <si>
    <t>Update</t>
  </si>
  <si>
    <t>Notes/options</t>
  </si>
  <si>
    <t>2 Dev + 1 Test (lead/guidance)</t>
  </si>
  <si>
    <t>APAC</t>
  </si>
  <si>
    <t>2 dev + 1 tester that can provide technical leadership (or retain Steph) - for Solomons P2 and Cook Is. Projects</t>
  </si>
  <si>
    <t>In dispute</t>
  </si>
  <si>
    <t xml:space="preserve">
To be raised to Exec 6/6. 
7/6/24 Vernon has said he'll work through this with Bill and Exec. For now decision that there is no people. We are recruiting.</t>
  </si>
  <si>
    <t>Vernon wants all &gt;1 month placements to be discussed and agreed at Exec for visibility.
1 tester to come from latest recruitment</t>
  </si>
  <si>
    <t>Raymond &amp; Richard</t>
  </si>
  <si>
    <t>2-3 Dev + 1 Test</t>
  </si>
  <si>
    <t>Off the back of financials and validating numbers Richard &amp; Raymond confirmed 2-3 devs and 1 tester would be good</t>
  </si>
  <si>
    <t>In progress</t>
  </si>
  <si>
    <t>25/6 4 testers coming - 1 will go to Americas (Richard ok), awaitin Exec confirmation</t>
  </si>
  <si>
    <t xml:space="preserve">Refresh info from financial trackers -&gt; pipeline - which numbers are missing? </t>
  </si>
  <si>
    <t>?</t>
  </si>
  <si>
    <t>Escalations</t>
  </si>
  <si>
    <t>-</t>
  </si>
  <si>
    <t>Escalated by</t>
  </si>
  <si>
    <t>About</t>
  </si>
  <si>
    <t>APAC request for 2 dev+1 tester</t>
  </si>
  <si>
    <t>Vern to discuss with Exec</t>
  </si>
  <si>
    <t>Rotations</t>
  </si>
  <si>
    <t>Date raised</t>
  </si>
  <si>
    <t>Raised by</t>
  </si>
  <si>
    <t>Who</t>
  </si>
  <si>
    <t>Team</t>
  </si>
  <si>
    <t>Rotation detalis / date</t>
  </si>
  <si>
    <t>Rotation date</t>
  </si>
  <si>
    <t>Moves</t>
  </si>
  <si>
    <t>First name</t>
  </si>
  <si>
    <t>From Region</t>
  </si>
  <si>
    <t>From Project</t>
  </si>
  <si>
    <t>To Region</t>
  </si>
  <si>
    <t>To Project</t>
  </si>
  <si>
    <t>Reason/Notes/update</t>
  </si>
  <si>
    <t>90 day transition plan; all in place for Nishadi to transition ~20/6 - will remain available for questions and some handover when Edson returns from leave 2/7. Joe spoken with Nishadi, Jill and Richard aware.</t>
  </si>
  <si>
    <t>90 day transition plan; with Richard</t>
  </si>
  <si>
    <t>90 day transition plan; handover plan in place when Cath starts 1/7; with Richard</t>
  </si>
  <si>
    <t>90 day transition plan;</t>
  </si>
  <si>
    <t>Part-time transition across both has now changed to permanent placement in APAC effective immediately. 4 Europe testers currently reporting to her are to remain with her until a Europe replacement is arranged (likely hiring a test manager)</t>
  </si>
  <si>
    <t xml:space="preserve">Technical Consultant </t>
  </si>
  <si>
    <t>Platform - Manager</t>
  </si>
  <si>
    <t>Technical Development</t>
  </si>
  <si>
    <t>Platform - Product</t>
  </si>
  <si>
    <t>Vice President Europe</t>
  </si>
  <si>
    <t>New Zealand (Remote)</t>
  </si>
  <si>
    <t>Engagment Manager</t>
  </si>
  <si>
    <t>Returned FT 15/11/24</t>
  </si>
  <si>
    <t>Jersey Tech Lead; Needs to come out of Jersey at Aug GL of CER/overprocessing. Potential new TL for Cyprus</t>
  </si>
  <si>
    <t>Moving to AUS 21 Aug, will be fully remote</t>
  </si>
  <si>
    <t>Working in Buhtan from September</t>
  </si>
  <si>
    <t>Business Development</t>
  </si>
  <si>
    <t>Previously Cyprus Tech Lead, when returns form leave 26/8 starts in Americas region</t>
  </si>
  <si>
    <t>Secondment extended till Mar 25</t>
  </si>
  <si>
    <t>Currently remote from Malaysia, likely to return to NZ by November wfh in Christchurch reporting to Jayesh (6 week leave in transition)</t>
  </si>
  <si>
    <t>People &amp; Test</t>
  </si>
  <si>
    <t>Returning to NZ 27 Jan 2025</t>
  </si>
  <si>
    <t>24/6 now permanently aligned with Asia Pacific (Shona). Was Europe assigned &amp; part-time with APAC until Solomons P1 GL 7/7/24</t>
  </si>
  <si>
    <t>Return to NZ 27th Jan 2025</t>
  </si>
  <si>
    <t>26/6 Bereavement leave, expect approx. 1 month</t>
  </si>
  <si>
    <t>Need fro D365 for Solomons</t>
  </si>
  <si>
    <t>Transition IOM/EUR-AM 20/6</t>
  </si>
  <si>
    <t>Service Delivery Development</t>
  </si>
  <si>
    <t>30 hours from 10/1/25</t>
  </si>
  <si>
    <t>Remote working in Hamilton 3/1/25-31/7/25</t>
  </si>
  <si>
    <r>
      <t xml:space="preserve">Part time - 3 days- to be reviewed in new year; </t>
    </r>
    <r>
      <rPr>
        <sz val="9"/>
        <rFont val="Calibri Light"/>
        <family val="2"/>
      </rPr>
      <t>After 6 weeks secondment from Americas to Europe, permanent to Europe 9/12/24</t>
    </r>
  </si>
  <si>
    <t>MUROS</t>
  </si>
  <si>
    <t>email -  mike.perhanidis@datatorque.com</t>
  </si>
  <si>
    <t xml:space="preserve">Technology </t>
  </si>
  <si>
    <t>Updated for July 2024</t>
  </si>
  <si>
    <t>ID</t>
  </si>
  <si>
    <t>DBA</t>
  </si>
  <si>
    <t>DevOps</t>
  </si>
  <si>
    <t>Mat leave returning 23/9/23</t>
  </si>
  <si>
    <t>Learning</t>
  </si>
  <si>
    <t>Based in Jersey for 3 months? Is he now attached to the Europe office? Finishing at DT end of Sept?</t>
  </si>
  <si>
    <t>Reporting</t>
  </si>
  <si>
    <t>New Zeland</t>
  </si>
  <si>
    <t>Infrastrcuture</t>
  </si>
  <si>
    <t xml:space="preserve">Kamalakar </t>
  </si>
  <si>
    <t>5/8//24</t>
  </si>
  <si>
    <t>Start date 8th July</t>
  </si>
  <si>
    <t>People &amp; Platform</t>
  </si>
  <si>
    <t>Nicolas (Nico)</t>
  </si>
  <si>
    <t>Ostro squad ?</t>
  </si>
  <si>
    <t>N/A</t>
  </si>
  <si>
    <t>* associated to that office but located somewhere else</t>
  </si>
  <si>
    <t xml:space="preserve">Fixed term, 37.5h/week for 10 weeks, now extended to 23rd January. Perm employee from 1 December </t>
  </si>
  <si>
    <t xml:space="preserve">Fixed term intern for 6 weeks (last day 19 Dec 2025). Extension to 16th Jan 26. </t>
  </si>
  <si>
    <t>Engineering Lead secondment till 20 March 26</t>
  </si>
  <si>
    <t>Fixed term, 37.5h/week for 10 weeks, now extended to 6 March</t>
  </si>
  <si>
    <t>6 month fixed term till 24 Dec; last day 12/12</t>
  </si>
  <si>
    <t>DeltaVee</t>
  </si>
  <si>
    <t>Engineer</t>
  </si>
  <si>
    <t>Keith</t>
  </si>
  <si>
    <t>Wijey-Wardna</t>
  </si>
  <si>
    <t>Philip</t>
  </si>
  <si>
    <t>Clegg</t>
  </si>
  <si>
    <t>Mike</t>
  </si>
  <si>
    <t>Cave</t>
  </si>
  <si>
    <t>Contracted till 31/1/26</t>
  </si>
  <si>
    <t xml:space="preserve">Planning and Improvement Lead </t>
  </si>
  <si>
    <t>Stefan</t>
  </si>
  <si>
    <t>William-Worrall</t>
  </si>
  <si>
    <t>811</t>
  </si>
  <si>
    <t>Moving to Cyprus with Stefan in March</t>
  </si>
  <si>
    <t>Timesheet?</t>
  </si>
  <si>
    <t xml:space="preserve">Partial? </t>
  </si>
  <si>
    <t>N</t>
  </si>
  <si>
    <t>Never started</t>
  </si>
  <si>
    <t>When stoppped/ changed timesheet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</si>
</sst>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d/mm/yyyy;@"/>
    <numFmt numFmtId="166" formatCode="0.0"/>
  </numFmts>
  <fonts count="50" x14ac:knownFonts="1">
    <font>
      <sz val="10"/>
      <color theme="1"/>
      <name val="Arial"/>
      <family val="2"/>
    </font>
    <font>
      <sz val="10"/>
      <color rgb="FF000000"/>
      <name val="Calibri Light"/>
      <family val="2"/>
    </font>
    <font>
      <sz val="10"/>
      <name val="Calibri Light"/>
      <family val="2"/>
    </font>
    <font>
      <sz val="10"/>
      <color rgb="FF393939"/>
      <name val="Calibri Light"/>
      <family val="2"/>
    </font>
    <font>
      <b/>
      <sz val="10"/>
      <name val="Calibri Light"/>
      <family val="2"/>
    </font>
    <font>
      <sz val="10"/>
      <color theme="1"/>
      <name val="Calibri Light"/>
      <family val="2"/>
    </font>
    <font>
      <sz val="10"/>
      <color indexed="8"/>
      <name val="Calibri Light"/>
      <family val="2"/>
    </font>
    <font>
      <sz val="10"/>
      <color theme="2" tint="-0.749992370372631"/>
      <name val="Calibri Light"/>
      <family val="2"/>
    </font>
    <font>
      <u/>
      <sz val="10"/>
      <color theme="10"/>
      <name val="Arial"/>
      <family val="2"/>
    </font>
    <font>
      <sz val="11"/>
      <color theme="1"/>
      <name val="Aptos Narrow"/>
      <family val="2"/>
      <scheme val="minor"/>
    </font>
    <font>
      <b/>
      <sz val="14"/>
      <color theme="1"/>
      <name val="Calibri Light"/>
      <family val="2"/>
    </font>
    <font>
      <i/>
      <sz val="10"/>
      <color theme="1"/>
      <name val="Calibri Light"/>
      <family val="2"/>
    </font>
    <font>
      <u/>
      <sz val="10"/>
      <color theme="10"/>
      <name val="Calibri Light"/>
      <family val="2"/>
    </font>
    <font>
      <b/>
      <sz val="10"/>
      <color theme="1"/>
      <name val="Calibri Light"/>
      <family val="2"/>
    </font>
    <font>
      <sz val="11"/>
      <color theme="1"/>
      <name val="Calibri Light"/>
      <family val="2"/>
    </font>
    <font>
      <b/>
      <sz val="10"/>
      <color theme="0"/>
      <name val="Calibri Light"/>
      <family val="2"/>
    </font>
    <font>
      <i/>
      <sz val="9"/>
      <color theme="1"/>
      <name val="Calibri Light"/>
      <family val="2"/>
    </font>
    <font>
      <sz val="9"/>
      <name val="Calibri Light"/>
      <family val="2"/>
    </font>
    <font>
      <sz val="9"/>
      <color rgb="FF000000"/>
      <name val="Calibri Light"/>
      <family val="2"/>
    </font>
    <font>
      <b/>
      <sz val="9"/>
      <name val="Calibri Light"/>
      <family val="2"/>
    </font>
    <font>
      <sz val="9"/>
      <color theme="1"/>
      <name val="Calibri Light"/>
      <family val="2"/>
    </font>
    <font>
      <sz val="9"/>
      <color rgb="FF393939"/>
      <name val="Calibri Light"/>
      <family val="2"/>
    </font>
    <font>
      <sz val="9"/>
      <color indexed="8"/>
      <name val="Calibri Light"/>
      <family val="2"/>
    </font>
    <font>
      <sz val="9"/>
      <color theme="2" tint="-0.749992370372631"/>
      <name val="Calibri Light"/>
      <family val="2"/>
    </font>
    <font>
      <b/>
      <sz val="11"/>
      <color theme="1"/>
      <name val="Calibri Light"/>
      <family val="2"/>
    </font>
    <font>
      <b/>
      <sz val="9"/>
      <color theme="0"/>
      <name val="Calibri Light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27"/>
      <color theme="3"/>
      <name val="Arial"/>
      <family val="2"/>
    </font>
    <font>
      <sz val="10"/>
      <color rgb="FF000000"/>
      <name val="Arial"/>
      <family val="2"/>
    </font>
    <font>
      <sz val="10"/>
      <color theme="3"/>
      <name val="Arial"/>
      <family val="2"/>
    </font>
    <font>
      <b/>
      <sz val="27"/>
      <color theme="0"/>
      <name val="Arial"/>
      <family val="2"/>
    </font>
    <font>
      <b/>
      <i/>
      <sz val="10"/>
      <color theme="3"/>
      <name val="Arial"/>
      <family val="2"/>
    </font>
    <font>
      <b/>
      <sz val="10"/>
      <color theme="3"/>
      <name val="Arial"/>
      <family val="2"/>
    </font>
    <font>
      <b/>
      <sz val="16"/>
      <color theme="3"/>
      <name val="Arial"/>
      <family val="2"/>
    </font>
    <font>
      <b/>
      <i/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b/>
      <i/>
      <sz val="8"/>
      <color theme="3"/>
      <name val="Arial"/>
      <family val="2"/>
    </font>
    <font>
      <sz val="8"/>
      <color theme="3"/>
      <name val="arial"/>
      <family val="2"/>
    </font>
    <font>
      <b/>
      <sz val="8"/>
      <color theme="3"/>
      <name val="Arial"/>
      <family val="2"/>
    </font>
    <font>
      <b/>
      <sz val="9"/>
      <color theme="3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0" tint="-0.14999847407452621"/>
      <name val="arial"/>
      <family val="2"/>
    </font>
    <font>
      <sz val="9"/>
      <color rgb="FFFF0000"/>
      <name val="Calibri Light"/>
      <family val="2"/>
    </font>
    <font>
      <i/>
      <sz val="10"/>
      <color theme="1"/>
      <name val="Arial"/>
      <family val="2"/>
    </font>
    <font>
      <b/>
      <sz val="11"/>
      <color theme="3"/>
      <name val="Arial"/>
      <family val="2"/>
    </font>
    <font>
      <sz val="10"/>
      <color theme="0"/>
      <name val="Aptos Display"/>
      <family val="2"/>
      <scheme val="major"/>
    </font>
  </fonts>
  <fills count="19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D653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653"/>
        <bgColor indexed="64"/>
      </patternFill>
    </fill>
    <fill>
      <patternFill patternType="solid">
        <fgColor rgb="FF323F48"/>
        <bgColor rgb="FF13B5EA"/>
      </patternFill>
    </fill>
    <fill>
      <patternFill patternType="solid">
        <fgColor rgb="FF92D05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323E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rgb="FFA6A6A6"/>
      </left>
      <right style="thin">
        <color theme="0" tint="-0.34998626667073579"/>
      </right>
      <top style="thin">
        <color rgb="FFA6A6A6"/>
      </top>
      <bottom style="thin">
        <color theme="0" tint="-0.34998626667073579"/>
      </bottom>
      <diagonal/>
    </border>
    <border>
      <left style="thin">
        <color rgb="FFA6A6A6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rgb="FFD9D9D9"/>
      </left>
      <right/>
      <top style="hair">
        <color rgb="FFD9D9D9"/>
      </top>
      <bottom style="hair">
        <color rgb="FFD9D9D9"/>
      </bottom>
      <diagonal/>
    </border>
    <border>
      <left/>
      <right style="hair">
        <color rgb="FFD9D9D9"/>
      </right>
      <top/>
      <bottom style="hair">
        <color rgb="FFD9D9D9"/>
      </bottom>
      <diagonal/>
    </border>
    <border>
      <left style="hair">
        <color rgb="FFD9D9D9"/>
      </left>
      <right/>
      <top/>
      <bottom style="hair">
        <color rgb="FFD9D9D9"/>
      </bottom>
      <diagonal/>
    </border>
    <border>
      <left/>
      <right style="hair">
        <color rgb="FFD9D9D9"/>
      </right>
      <top style="hair">
        <color rgb="FFD9D9D9"/>
      </top>
      <bottom/>
      <diagonal/>
    </border>
    <border>
      <left style="hair">
        <color rgb="FFD9D9D9"/>
      </left>
      <right/>
      <top style="hair">
        <color rgb="FFD9D9D9"/>
      </top>
      <bottom/>
      <diagonal/>
    </border>
    <border>
      <left style="thin">
        <color rgb="FFA6A6A6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0">
    <xf numFmtId="0" fontId="0" fillId="0" borderId="0"/>
    <xf numFmtId="0" fontId="8" fillId="0" borderId="0" applyNumberFormat="0" applyFill="0" applyBorder="0" applyAlignment="0" applyProtection="0"/>
    <xf numFmtId="0" fontId="9" fillId="0" borderId="0"/>
    <xf numFmtId="0" fontId="27" fillId="0" borderId="0"/>
    <xf numFmtId="0" fontId="29" fillId="0" borderId="0"/>
    <xf numFmtId="43" fontId="29" fillId="0" borderId="0" applyFont="0" applyFill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43" fillId="0" borderId="0" applyFont="0" applyFill="0" applyBorder="0" applyAlignment="0" applyProtection="0"/>
  </cellStyleXfs>
  <cellXfs count="280">
    <xf numFmtId="0" fontId="0" fillId="0" borderId="0" xfId="0"/>
    <xf numFmtId="14" fontId="2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1" fillId="0" borderId="1" xfId="0" applyFont="1" applyBorder="1"/>
    <xf numFmtId="14" fontId="2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 wrapText="1"/>
    </xf>
    <xf numFmtId="0" fontId="1" fillId="0" borderId="5" xfId="0" applyFont="1" applyBorder="1"/>
    <xf numFmtId="0" fontId="1" fillId="0" borderId="6" xfId="0" applyFont="1" applyBorder="1"/>
    <xf numFmtId="0" fontId="5" fillId="0" borderId="1" xfId="0" applyFont="1" applyBorder="1"/>
    <xf numFmtId="0" fontId="10" fillId="0" borderId="0" xfId="2" applyFont="1"/>
    <xf numFmtId="0" fontId="5" fillId="0" borderId="0" xfId="2" applyFont="1"/>
    <xf numFmtId="0" fontId="11" fillId="0" borderId="0" xfId="2" applyFont="1"/>
    <xf numFmtId="0" fontId="12" fillId="0" borderId="0" xfId="1" applyFont="1" applyFill="1"/>
    <xf numFmtId="0" fontId="13" fillId="0" borderId="0" xfId="2" applyFont="1"/>
    <xf numFmtId="16" fontId="5" fillId="0" borderId="0" xfId="2" applyNumberFormat="1" applyFont="1"/>
    <xf numFmtId="0" fontId="14" fillId="0" borderId="0" xfId="2" applyFont="1"/>
    <xf numFmtId="0" fontId="15" fillId="8" borderId="10" xfId="2" applyFont="1" applyFill="1" applyBorder="1"/>
    <xf numFmtId="0" fontId="15" fillId="8" borderId="10" xfId="2" quotePrefix="1" applyFont="1" applyFill="1" applyBorder="1"/>
    <xf numFmtId="0" fontId="16" fillId="0" borderId="0" xfId="2" applyFont="1"/>
    <xf numFmtId="14" fontId="5" fillId="0" borderId="0" xfId="2" applyNumberFormat="1" applyFont="1"/>
    <xf numFmtId="0" fontId="15" fillId="8" borderId="11" xfId="2" applyFont="1" applyFill="1" applyBorder="1"/>
    <xf numFmtId="0" fontId="15" fillId="8" borderId="12" xfId="2" applyFont="1" applyFill="1" applyBorder="1"/>
    <xf numFmtId="0" fontId="5" fillId="0" borderId="17" xfId="2" applyFont="1" applyBorder="1"/>
    <xf numFmtId="0" fontId="5" fillId="0" borderId="18" xfId="2" applyFont="1" applyBorder="1"/>
    <xf numFmtId="14" fontId="17" fillId="0" borderId="0" xfId="0" applyNumberFormat="1" applyFont="1" applyAlignment="1">
      <alignment horizontal="right"/>
    </xf>
    <xf numFmtId="0" fontId="18" fillId="0" borderId="0" xfId="0" applyFont="1"/>
    <xf numFmtId="0" fontId="10" fillId="0" borderId="0" xfId="0" applyFont="1"/>
    <xf numFmtId="14" fontId="5" fillId="0" borderId="0" xfId="0" applyNumberFormat="1" applyFont="1"/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center" wrapText="1"/>
    </xf>
    <xf numFmtId="0" fontId="19" fillId="3" borderId="3" xfId="0" applyFont="1" applyFill="1" applyBorder="1" applyAlignment="1">
      <alignment horizontal="center" wrapText="1"/>
    </xf>
    <xf numFmtId="0" fontId="19" fillId="4" borderId="3" xfId="0" applyFont="1" applyFill="1" applyBorder="1" applyAlignment="1">
      <alignment horizontal="center" wrapText="1"/>
    </xf>
    <xf numFmtId="0" fontId="19" fillId="5" borderId="3" xfId="0" applyFont="1" applyFill="1" applyBorder="1" applyAlignment="1">
      <alignment horizontal="center" wrapText="1"/>
    </xf>
    <xf numFmtId="0" fontId="19" fillId="7" borderId="4" xfId="0" applyFont="1" applyFill="1" applyBorder="1" applyAlignment="1">
      <alignment horizontal="center" wrapText="1"/>
    </xf>
    <xf numFmtId="0" fontId="20" fillId="0" borderId="0" xfId="0" applyFont="1"/>
    <xf numFmtId="0" fontId="18" fillId="0" borderId="5" xfId="0" applyFont="1" applyBorder="1"/>
    <xf numFmtId="0" fontId="18" fillId="0" borderId="1" xfId="0" applyFont="1" applyBorder="1"/>
    <xf numFmtId="14" fontId="17" fillId="0" borderId="1" xfId="0" applyNumberFormat="1" applyFont="1" applyBorder="1" applyAlignment="1">
      <alignment horizontal="right"/>
    </xf>
    <xf numFmtId="0" fontId="21" fillId="0" borderId="1" xfId="0" applyFont="1" applyBorder="1"/>
    <xf numFmtId="0" fontId="18" fillId="0" borderId="6" xfId="0" applyFont="1" applyBorder="1"/>
    <xf numFmtId="0" fontId="22" fillId="0" borderId="5" xfId="0" applyFont="1" applyBorder="1"/>
    <xf numFmtId="0" fontId="22" fillId="0" borderId="1" xfId="0" applyFont="1" applyBorder="1"/>
    <xf numFmtId="0" fontId="23" fillId="0" borderId="1" xfId="0" applyFont="1" applyBorder="1"/>
    <xf numFmtId="0" fontId="20" fillId="0" borderId="5" xfId="0" applyFont="1" applyBorder="1"/>
    <xf numFmtId="0" fontId="20" fillId="0" borderId="1" xfId="0" applyFont="1" applyBorder="1"/>
    <xf numFmtId="14" fontId="20" fillId="0" borderId="1" xfId="0" applyNumberFormat="1" applyFont="1" applyBorder="1" applyAlignment="1">
      <alignment horizontal="right"/>
    </xf>
    <xf numFmtId="0" fontId="18" fillId="6" borderId="1" xfId="0" applyFont="1" applyFill="1" applyBorder="1"/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right"/>
    </xf>
    <xf numFmtId="0" fontId="18" fillId="0" borderId="7" xfId="0" applyFont="1" applyBorder="1"/>
    <xf numFmtId="0" fontId="18" fillId="0" borderId="8" xfId="0" applyFont="1" applyBorder="1"/>
    <xf numFmtId="14" fontId="17" fillId="0" borderId="8" xfId="0" applyNumberFormat="1" applyFont="1" applyBorder="1" applyAlignment="1">
      <alignment horizontal="right"/>
    </xf>
    <xf numFmtId="0" fontId="21" fillId="0" borderId="8" xfId="0" applyFont="1" applyBorder="1"/>
    <xf numFmtId="0" fontId="18" fillId="0" borderId="9" xfId="0" applyFont="1" applyBorder="1"/>
    <xf numFmtId="0" fontId="24" fillId="0" borderId="0" xfId="0" applyFont="1"/>
    <xf numFmtId="14" fontId="5" fillId="0" borderId="1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5" fillId="0" borderId="8" xfId="0" applyNumberFormat="1" applyFont="1" applyBorder="1"/>
    <xf numFmtId="0" fontId="5" fillId="0" borderId="9" xfId="0" applyFont="1" applyBorder="1"/>
    <xf numFmtId="16" fontId="20" fillId="0" borderId="0" xfId="2" applyNumberFormat="1" applyFont="1"/>
    <xf numFmtId="0" fontId="20" fillId="0" borderId="0" xfId="2" applyFont="1"/>
    <xf numFmtId="0" fontId="20" fillId="0" borderId="0" xfId="2" applyFont="1" applyAlignment="1">
      <alignment wrapText="1"/>
    </xf>
    <xf numFmtId="0" fontId="20" fillId="6" borderId="0" xfId="2" applyFont="1" applyFill="1"/>
    <xf numFmtId="14" fontId="20" fillId="0" borderId="16" xfId="2" applyNumberFormat="1" applyFont="1" applyBorder="1"/>
    <xf numFmtId="0" fontId="20" fillId="0" borderId="16" xfId="2" applyFont="1" applyBorder="1"/>
    <xf numFmtId="0" fontId="20" fillId="0" borderId="19" xfId="2" applyFont="1" applyBorder="1"/>
    <xf numFmtId="17" fontId="20" fillId="0" borderId="13" xfId="2" applyNumberFormat="1" applyFont="1" applyBorder="1"/>
    <xf numFmtId="0" fontId="20" fillId="0" borderId="13" xfId="2" applyFont="1" applyBorder="1"/>
    <xf numFmtId="0" fontId="20" fillId="0" borderId="14" xfId="2" applyFont="1" applyBorder="1"/>
    <xf numFmtId="17" fontId="20" fillId="0" borderId="15" xfId="2" applyNumberFormat="1" applyFont="1" applyBorder="1"/>
    <xf numFmtId="0" fontId="20" fillId="0" borderId="15" xfId="2" applyFont="1" applyBorder="1"/>
    <xf numFmtId="0" fontId="25" fillId="8" borderId="10" xfId="2" applyFont="1" applyFill="1" applyBorder="1"/>
    <xf numFmtId="0" fontId="12" fillId="0" borderId="0" xfId="1" applyFont="1"/>
    <xf numFmtId="0" fontId="5" fillId="0" borderId="0" xfId="0" applyFont="1" applyAlignment="1">
      <alignment horizontal="left" indent="1"/>
    </xf>
    <xf numFmtId="14" fontId="17" fillId="6" borderId="1" xfId="0" applyNumberFormat="1" applyFont="1" applyFill="1" applyBorder="1" applyAlignment="1">
      <alignment horizontal="right"/>
    </xf>
    <xf numFmtId="14" fontId="20" fillId="0" borderId="14" xfId="2" applyNumberFormat="1" applyFont="1" applyBorder="1"/>
    <xf numFmtId="14" fontId="17" fillId="0" borderId="16" xfId="2" applyNumberFormat="1" applyFont="1" applyBorder="1" applyAlignment="1">
      <alignment horizontal="right"/>
    </xf>
    <xf numFmtId="0" fontId="18" fillId="0" borderId="16" xfId="2" applyFont="1" applyBorder="1"/>
    <xf numFmtId="14" fontId="17" fillId="0" borderId="14" xfId="2" applyNumberFormat="1" applyFont="1" applyBorder="1" applyAlignment="1">
      <alignment horizontal="right"/>
    </xf>
    <xf numFmtId="0" fontId="18" fillId="0" borderId="14" xfId="2" applyFont="1" applyBorder="1"/>
    <xf numFmtId="14" fontId="17" fillId="9" borderId="1" xfId="0" applyNumberFormat="1" applyFont="1" applyFill="1" applyBorder="1" applyAlignment="1">
      <alignment horizontal="right"/>
    </xf>
    <xf numFmtId="0" fontId="18" fillId="9" borderId="1" xfId="0" applyFont="1" applyFill="1" applyBorder="1"/>
    <xf numFmtId="14" fontId="20" fillId="6" borderId="16" xfId="2" applyNumberFormat="1" applyFont="1" applyFill="1" applyBorder="1"/>
    <xf numFmtId="0" fontId="18" fillId="0" borderId="14" xfId="2" applyFont="1" applyBorder="1" applyAlignment="1">
      <alignment horizontal="left"/>
    </xf>
    <xf numFmtId="0" fontId="19" fillId="7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0" fontId="18" fillId="10" borderId="1" xfId="0" applyFont="1" applyFill="1" applyBorder="1"/>
    <xf numFmtId="0" fontId="18" fillId="11" borderId="1" xfId="0" applyFont="1" applyFill="1" applyBorder="1"/>
    <xf numFmtId="0" fontId="19" fillId="2" borderId="20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8" fillId="0" borderId="2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8" fillId="12" borderId="0" xfId="3" applyFont="1" applyFill="1" applyAlignment="1">
      <alignment horizontal="left"/>
    </xf>
    <xf numFmtId="0" fontId="30" fillId="10" borderId="0" xfId="4" applyFont="1" applyFill="1"/>
    <xf numFmtId="0" fontId="31" fillId="12" borderId="0" xfId="3" applyFont="1" applyFill="1" applyAlignment="1">
      <alignment horizontal="left"/>
    </xf>
    <xf numFmtId="0" fontId="26" fillId="10" borderId="0" xfId="4" applyFont="1" applyFill="1"/>
    <xf numFmtId="0" fontId="32" fillId="10" borderId="0" xfId="4" applyFont="1" applyFill="1"/>
    <xf numFmtId="0" fontId="33" fillId="10" borderId="0" xfId="4" applyFont="1" applyFill="1"/>
    <xf numFmtId="0" fontId="33" fillId="10" borderId="0" xfId="4" applyFont="1" applyFill="1" applyAlignment="1">
      <alignment horizontal="center"/>
    </xf>
    <xf numFmtId="0" fontId="34" fillId="10" borderId="0" xfId="3" applyFont="1" applyFill="1" applyAlignment="1">
      <alignment horizontal="left"/>
    </xf>
    <xf numFmtId="164" fontId="33" fillId="10" borderId="0" xfId="4" applyNumberFormat="1" applyFont="1" applyFill="1"/>
    <xf numFmtId="0" fontId="35" fillId="10" borderId="0" xfId="4" applyFont="1" applyFill="1" applyAlignment="1">
      <alignment horizontal="right" vertical="center"/>
    </xf>
    <xf numFmtId="0" fontId="37" fillId="10" borderId="0" xfId="4" applyFont="1" applyFill="1" applyAlignment="1">
      <alignment horizontal="right" vertical="center"/>
    </xf>
    <xf numFmtId="0" fontId="38" fillId="10" borderId="0" xfId="4" applyFont="1" applyFill="1"/>
    <xf numFmtId="0" fontId="39" fillId="10" borderId="0" xfId="4" applyFont="1" applyFill="1"/>
    <xf numFmtId="0" fontId="39" fillId="10" borderId="0" xfId="4" applyFont="1" applyFill="1" applyAlignment="1">
      <alignment horizontal="center"/>
    </xf>
    <xf numFmtId="164" fontId="40" fillId="10" borderId="0" xfId="4" applyNumberFormat="1" applyFont="1" applyFill="1"/>
    <xf numFmtId="0" fontId="40" fillId="10" borderId="0" xfId="4" applyFont="1" applyFill="1" applyAlignment="1">
      <alignment horizontal="center"/>
    </xf>
    <xf numFmtId="164" fontId="39" fillId="14" borderId="22" xfId="4" applyNumberFormat="1" applyFont="1" applyFill="1" applyBorder="1" applyAlignment="1">
      <alignment horizontal="left" indent="2"/>
    </xf>
    <xf numFmtId="164" fontId="39" fillId="14" borderId="23" xfId="4" applyNumberFormat="1" applyFont="1" applyFill="1" applyBorder="1" applyAlignment="1">
      <alignment horizontal="center"/>
    </xf>
    <xf numFmtId="164" fontId="36" fillId="13" borderId="24" xfId="4" applyNumberFormat="1" applyFont="1" applyFill="1" applyBorder="1" applyAlignment="1">
      <alignment horizontal="left" vertical="center"/>
    </xf>
    <xf numFmtId="38" fontId="36" fillId="13" borderId="25" xfId="4" applyNumberFormat="1" applyFont="1" applyFill="1" applyBorder="1" applyAlignment="1">
      <alignment horizontal="right" vertical="center"/>
    </xf>
    <xf numFmtId="164" fontId="39" fillId="14" borderId="26" xfId="4" applyNumberFormat="1" applyFont="1" applyFill="1" applyBorder="1" applyAlignment="1">
      <alignment horizontal="left" indent="2"/>
    </xf>
    <xf numFmtId="164" fontId="39" fillId="14" borderId="27" xfId="4" applyNumberFormat="1" applyFont="1" applyFill="1" applyBorder="1" applyAlignment="1">
      <alignment horizontal="center"/>
    </xf>
    <xf numFmtId="164" fontId="33" fillId="10" borderId="0" xfId="4" applyNumberFormat="1" applyFont="1" applyFill="1" applyAlignment="1">
      <alignment horizontal="center"/>
    </xf>
    <xf numFmtId="14" fontId="17" fillId="10" borderId="0" xfId="0" applyNumberFormat="1" applyFont="1" applyFill="1" applyAlignment="1">
      <alignment horizontal="right"/>
    </xf>
    <xf numFmtId="0" fontId="18" fillId="10" borderId="5" xfId="0" applyFont="1" applyFill="1" applyBorder="1"/>
    <xf numFmtId="14" fontId="17" fillId="10" borderId="1" xfId="0" applyNumberFormat="1" applyFont="1" applyFill="1" applyBorder="1" applyAlignment="1">
      <alignment horizontal="right"/>
    </xf>
    <xf numFmtId="0" fontId="21" fillId="10" borderId="1" xfId="0" applyFont="1" applyFill="1" applyBorder="1"/>
    <xf numFmtId="0" fontId="18" fillId="10" borderId="6" xfId="0" applyFont="1" applyFill="1" applyBorder="1"/>
    <xf numFmtId="14" fontId="20" fillId="10" borderId="0" xfId="0" applyNumberFormat="1" applyFont="1" applyFill="1"/>
    <xf numFmtId="14" fontId="18" fillId="10" borderId="0" xfId="0" applyNumberFormat="1" applyFont="1" applyFill="1"/>
    <xf numFmtId="0" fontId="10" fillId="0" borderId="0" xfId="0" applyFont="1" applyAlignment="1">
      <alignment horizontal="left"/>
    </xf>
    <xf numFmtId="164" fontId="39" fillId="10" borderId="0" xfId="4" applyNumberFormat="1" applyFont="1" applyFill="1" applyAlignment="1">
      <alignment horizontal="center"/>
    </xf>
    <xf numFmtId="14" fontId="18" fillId="0" borderId="0" xfId="0" applyNumberFormat="1" applyFont="1"/>
    <xf numFmtId="14" fontId="20" fillId="0" borderId="0" xfId="0" applyNumberFormat="1" applyFont="1"/>
    <xf numFmtId="0" fontId="33" fillId="10" borderId="0" xfId="4" applyFont="1" applyFill="1" applyAlignment="1">
      <alignment horizontal="left"/>
    </xf>
    <xf numFmtId="164" fontId="39" fillId="14" borderId="0" xfId="4" applyNumberFormat="1" applyFont="1" applyFill="1" applyAlignment="1">
      <alignment horizontal="center"/>
    </xf>
    <xf numFmtId="38" fontId="36" fillId="0" borderId="0" xfId="4" applyNumberFormat="1" applyFont="1" applyAlignment="1">
      <alignment horizontal="right" vertical="center"/>
    </xf>
    <xf numFmtId="164" fontId="39" fillId="0" borderId="0" xfId="4" applyNumberFormat="1" applyFont="1" applyAlignment="1">
      <alignment horizontal="center"/>
    </xf>
    <xf numFmtId="0" fontId="33" fillId="0" borderId="0" xfId="4" applyFont="1" applyAlignment="1">
      <alignment horizontal="center"/>
    </xf>
    <xf numFmtId="14" fontId="33" fillId="10" borderId="0" xfId="4" applyNumberFormat="1" applyFont="1" applyFill="1" applyAlignment="1">
      <alignment horizontal="center"/>
    </xf>
    <xf numFmtId="0" fontId="19" fillId="3" borderId="29" xfId="0" applyFont="1" applyFill="1" applyBorder="1" applyAlignment="1">
      <alignment horizontal="center" wrapText="1"/>
    </xf>
    <xf numFmtId="14" fontId="18" fillId="10" borderId="1" xfId="0" applyNumberFormat="1" applyFont="1" applyFill="1" applyBorder="1" applyAlignment="1">
      <alignment horizontal="right"/>
    </xf>
    <xf numFmtId="0" fontId="18" fillId="0" borderId="28" xfId="0" applyFont="1" applyBorder="1" applyAlignment="1">
      <alignment horizontal="center"/>
    </xf>
    <xf numFmtId="14" fontId="41" fillId="0" borderId="0" xfId="4" applyNumberFormat="1" applyFont="1" applyAlignment="1">
      <alignment horizontal="left"/>
    </xf>
    <xf numFmtId="0" fontId="30" fillId="10" borderId="0" xfId="4" applyFont="1" applyFill="1" applyAlignment="1">
      <alignment horizontal="center"/>
    </xf>
    <xf numFmtId="17" fontId="30" fillId="10" borderId="0" xfId="4" applyNumberFormat="1" applyFont="1" applyFill="1" applyAlignment="1">
      <alignment horizontal="center"/>
    </xf>
    <xf numFmtId="164" fontId="39" fillId="14" borderId="30" xfId="4" applyNumberFormat="1" applyFont="1" applyFill="1" applyBorder="1" applyAlignment="1">
      <alignment horizontal="left" indent="2"/>
    </xf>
    <xf numFmtId="0" fontId="42" fillId="10" borderId="30" xfId="4" applyFont="1" applyFill="1" applyBorder="1" applyAlignment="1">
      <alignment horizontal="center"/>
    </xf>
    <xf numFmtId="0" fontId="42" fillId="10" borderId="30" xfId="4" applyFont="1" applyFill="1" applyBorder="1" applyAlignment="1">
      <alignment horizontal="center" vertical="center"/>
    </xf>
    <xf numFmtId="0" fontId="39" fillId="10" borderId="30" xfId="4" applyFont="1" applyFill="1" applyBorder="1" applyAlignment="1">
      <alignment horizontal="center"/>
    </xf>
    <xf numFmtId="164" fontId="39" fillId="0" borderId="23" xfId="4" applyNumberFormat="1" applyFont="1" applyBorder="1" applyAlignment="1">
      <alignment horizontal="center"/>
    </xf>
    <xf numFmtId="164" fontId="39" fillId="10" borderId="0" xfId="6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7" applyFont="1"/>
    <xf numFmtId="0" fontId="44" fillId="0" borderId="0" xfId="0" applyFont="1"/>
    <xf numFmtId="0" fontId="45" fillId="10" borderId="0" xfId="4" applyFont="1" applyFill="1"/>
    <xf numFmtId="0" fontId="39" fillId="10" borderId="30" xfId="4" applyFont="1" applyFill="1" applyBorder="1"/>
    <xf numFmtId="0" fontId="28" fillId="0" borderId="0" xfId="3" applyFont="1" applyAlignment="1">
      <alignment horizontal="left"/>
    </xf>
    <xf numFmtId="0" fontId="31" fillId="0" borderId="0" xfId="3" applyFont="1" applyAlignment="1">
      <alignment horizontal="left"/>
    </xf>
    <xf numFmtId="164" fontId="39" fillId="14" borderId="31" xfId="4" applyNumberFormat="1" applyFont="1" applyFill="1" applyBorder="1" applyAlignment="1">
      <alignment horizontal="left" indent="2"/>
    </xf>
    <xf numFmtId="0" fontId="39" fillId="10" borderId="31" xfId="4" applyFont="1" applyFill="1" applyBorder="1" applyAlignment="1">
      <alignment horizontal="center"/>
    </xf>
    <xf numFmtId="0" fontId="42" fillId="10" borderId="30" xfId="4" applyFont="1" applyFill="1" applyBorder="1" applyAlignment="1">
      <alignment horizontal="right" vertical="center"/>
    </xf>
    <xf numFmtId="0" fontId="42" fillId="10" borderId="32" xfId="4" applyFont="1" applyFill="1" applyBorder="1" applyAlignment="1">
      <alignment horizontal="center" vertical="center"/>
    </xf>
    <xf numFmtId="0" fontId="39" fillId="10" borderId="32" xfId="4" applyFont="1" applyFill="1" applyBorder="1" applyAlignment="1">
      <alignment horizontal="center"/>
    </xf>
    <xf numFmtId="0" fontId="20" fillId="0" borderId="6" xfId="0" applyFont="1" applyBorder="1"/>
    <xf numFmtId="0" fontId="26" fillId="10" borderId="0" xfId="4" applyFont="1" applyFill="1" applyAlignment="1">
      <alignment horizontal="center"/>
    </xf>
    <xf numFmtId="0" fontId="39" fillId="10" borderId="33" xfId="4" applyFont="1" applyFill="1" applyBorder="1" applyAlignment="1">
      <alignment horizontal="center"/>
    </xf>
    <xf numFmtId="14" fontId="18" fillId="0" borderId="8" xfId="0" applyNumberFormat="1" applyFont="1" applyBorder="1"/>
    <xf numFmtId="0" fontId="46" fillId="0" borderId="6" xfId="0" applyFont="1" applyBorder="1"/>
    <xf numFmtId="14" fontId="18" fillId="0" borderId="1" xfId="0" applyNumberFormat="1" applyFont="1" applyBorder="1"/>
    <xf numFmtId="0" fontId="23" fillId="0" borderId="8" xfId="0" applyFont="1" applyBorder="1"/>
    <xf numFmtId="0" fontId="37" fillId="10" borderId="30" xfId="4" applyFont="1" applyFill="1" applyBorder="1" applyAlignment="1">
      <alignment horizontal="center" vertical="center"/>
    </xf>
    <xf numFmtId="14" fontId="18" fillId="0" borderId="5" xfId="0" applyNumberFormat="1" applyFont="1" applyBorder="1"/>
    <xf numFmtId="0" fontId="47" fillId="0" borderId="0" xfId="0" applyFont="1"/>
    <xf numFmtId="0" fontId="39" fillId="10" borderId="34" xfId="4" applyFont="1" applyFill="1" applyBorder="1" applyAlignment="1">
      <alignment horizontal="center"/>
    </xf>
    <xf numFmtId="0" fontId="39" fillId="10" borderId="31" xfId="4" applyFont="1" applyFill="1" applyBorder="1"/>
    <xf numFmtId="165" fontId="39" fillId="10" borderId="0" xfId="4" applyNumberFormat="1" applyFont="1" applyFill="1" applyAlignment="1">
      <alignment horizontal="center"/>
    </xf>
    <xf numFmtId="0" fontId="0" fillId="10" borderId="0" xfId="0" applyFill="1"/>
    <xf numFmtId="2" fontId="0" fillId="0" borderId="0" xfId="0" applyNumberFormat="1"/>
    <xf numFmtId="0" fontId="37" fillId="10" borderId="32" xfId="4" applyFont="1" applyFill="1" applyBorder="1" applyAlignment="1">
      <alignment horizontal="center" vertical="center"/>
    </xf>
    <xf numFmtId="0" fontId="30" fillId="10" borderId="30" xfId="4" applyFont="1" applyFill="1" applyBorder="1"/>
    <xf numFmtId="0" fontId="37" fillId="10" borderId="30" xfId="4" applyFont="1" applyFill="1" applyBorder="1" applyAlignment="1">
      <alignment horizontal="right" vertical="center"/>
    </xf>
    <xf numFmtId="0" fontId="39" fillId="10" borderId="32" xfId="4" applyFont="1" applyFill="1" applyBorder="1"/>
    <xf numFmtId="0" fontId="27" fillId="0" borderId="35" xfId="0" applyFont="1" applyBorder="1"/>
    <xf numFmtId="0" fontId="20" fillId="0" borderId="36" xfId="0" applyFont="1" applyBorder="1"/>
    <xf numFmtId="0" fontId="19" fillId="3" borderId="39" xfId="0" applyFont="1" applyFill="1" applyBorder="1" applyAlignment="1">
      <alignment horizontal="center" wrapText="1"/>
    </xf>
    <xf numFmtId="0" fontId="19" fillId="3" borderId="40" xfId="0" applyFont="1" applyFill="1" applyBorder="1" applyAlignment="1">
      <alignment horizontal="center" wrapText="1"/>
    </xf>
    <xf numFmtId="0" fontId="27" fillId="0" borderId="37" xfId="0" applyFont="1" applyBorder="1"/>
    <xf numFmtId="0" fontId="20" fillId="0" borderId="38" xfId="0" applyFont="1" applyBorder="1"/>
    <xf numFmtId="0" fontId="39" fillId="10" borderId="34" xfId="4" applyFont="1" applyFill="1" applyBorder="1"/>
    <xf numFmtId="0" fontId="39" fillId="10" borderId="41" xfId="4" applyFont="1" applyFill="1" applyBorder="1"/>
    <xf numFmtId="164" fontId="39" fillId="14" borderId="34" xfId="4" applyNumberFormat="1" applyFont="1" applyFill="1" applyBorder="1" applyAlignment="1">
      <alignment horizontal="left" indent="2"/>
    </xf>
    <xf numFmtId="0" fontId="42" fillId="10" borderId="34" xfId="4" applyFont="1" applyFill="1" applyBorder="1" applyAlignment="1">
      <alignment horizontal="center"/>
    </xf>
    <xf numFmtId="0" fontId="42" fillId="10" borderId="41" xfId="4" applyFont="1" applyFill="1" applyBorder="1" applyAlignment="1">
      <alignment horizontal="center" vertical="center"/>
    </xf>
    <xf numFmtId="0" fontId="39" fillId="10" borderId="41" xfId="4" applyFont="1" applyFill="1" applyBorder="1" applyAlignment="1">
      <alignment horizontal="center"/>
    </xf>
    <xf numFmtId="0" fontId="42" fillId="10" borderId="34" xfId="4" applyFont="1" applyFill="1" applyBorder="1" applyAlignment="1">
      <alignment horizontal="center" vertical="center"/>
    </xf>
    <xf numFmtId="0" fontId="42" fillId="10" borderId="34" xfId="4" applyFont="1" applyFill="1" applyBorder="1" applyAlignment="1">
      <alignment horizontal="right" vertical="center"/>
    </xf>
    <xf numFmtId="0" fontId="30" fillId="10" borderId="34" xfId="4" applyFont="1" applyFill="1" applyBorder="1" applyAlignment="1">
      <alignment horizontal="center"/>
    </xf>
    <xf numFmtId="0" fontId="30" fillId="10" borderId="41" xfId="4" applyFont="1" applyFill="1" applyBorder="1" applyAlignment="1">
      <alignment horizontal="center"/>
    </xf>
    <xf numFmtId="0" fontId="30" fillId="10" borderId="34" xfId="4" applyFont="1" applyFill="1" applyBorder="1"/>
    <xf numFmtId="165" fontId="40" fillId="10" borderId="43" xfId="4" applyNumberFormat="1" applyFont="1" applyFill="1" applyBorder="1" applyAlignment="1">
      <alignment horizontal="center"/>
    </xf>
    <xf numFmtId="165" fontId="40" fillId="10" borderId="42" xfId="4" applyNumberFormat="1" applyFont="1" applyFill="1" applyBorder="1" applyAlignment="1">
      <alignment horizontal="center"/>
    </xf>
    <xf numFmtId="17" fontId="33" fillId="10" borderId="0" xfId="4" applyNumberFormat="1" applyFont="1" applyFill="1" applyAlignment="1">
      <alignment horizontal="center"/>
    </xf>
    <xf numFmtId="0" fontId="42" fillId="10" borderId="0" xfId="4" applyFont="1" applyFill="1" applyAlignment="1">
      <alignment horizontal="left" vertical="top"/>
    </xf>
    <xf numFmtId="0" fontId="42" fillId="10" borderId="31" xfId="4" applyFont="1" applyFill="1" applyBorder="1" applyAlignment="1">
      <alignment horizontal="center"/>
    </xf>
    <xf numFmtId="0" fontId="42" fillId="10" borderId="31" xfId="4" applyFont="1" applyFill="1" applyBorder="1" applyAlignment="1">
      <alignment horizontal="center" vertical="center"/>
    </xf>
    <xf numFmtId="0" fontId="42" fillId="10" borderId="31" xfId="4" applyFont="1" applyFill="1" applyBorder="1" applyAlignment="1">
      <alignment horizontal="right" vertical="center"/>
    </xf>
    <xf numFmtId="164" fontId="39" fillId="14" borderId="0" xfId="4" applyNumberFormat="1" applyFont="1" applyFill="1" applyAlignment="1">
      <alignment horizontal="left" indent="2"/>
    </xf>
    <xf numFmtId="0" fontId="42" fillId="10" borderId="33" xfId="4" applyFont="1" applyFill="1" applyBorder="1" applyAlignment="1">
      <alignment horizontal="center" vertical="center"/>
    </xf>
    <xf numFmtId="0" fontId="48" fillId="10" borderId="0" xfId="4" applyFont="1" applyFill="1" applyAlignment="1">
      <alignment horizontal="center"/>
    </xf>
    <xf numFmtId="0" fontId="39" fillId="10" borderId="44" xfId="4" applyFont="1" applyFill="1" applyBorder="1" applyAlignment="1">
      <alignment horizontal="center"/>
    </xf>
    <xf numFmtId="165" fontId="39" fillId="10" borderId="34" xfId="4" applyNumberFormat="1" applyFont="1" applyFill="1" applyBorder="1" applyAlignment="1">
      <alignment horizontal="center"/>
    </xf>
    <xf numFmtId="17" fontId="39" fillId="10" borderId="34" xfId="4" applyNumberFormat="1" applyFont="1" applyFill="1" applyBorder="1" applyAlignment="1">
      <alignment horizontal="center"/>
    </xf>
    <xf numFmtId="17" fontId="39" fillId="10" borderId="41" xfId="4" applyNumberFormat="1" applyFont="1" applyFill="1" applyBorder="1" applyAlignment="1">
      <alignment horizontal="center"/>
    </xf>
    <xf numFmtId="164" fontId="39" fillId="14" borderId="45" xfId="4" applyNumberFormat="1" applyFont="1" applyFill="1" applyBorder="1" applyAlignment="1">
      <alignment horizontal="left" indent="2"/>
    </xf>
    <xf numFmtId="164" fontId="39" fillId="14" borderId="46" xfId="4" applyNumberFormat="1" applyFont="1" applyFill="1" applyBorder="1" applyAlignment="1">
      <alignment horizontal="left" indent="2"/>
    </xf>
    <xf numFmtId="10" fontId="39" fillId="10" borderId="30" xfId="4" applyNumberFormat="1" applyFont="1" applyFill="1" applyBorder="1" applyAlignment="1">
      <alignment horizontal="center"/>
    </xf>
    <xf numFmtId="10" fontId="39" fillId="10" borderId="31" xfId="4" applyNumberFormat="1" applyFont="1" applyFill="1" applyBorder="1" applyAlignment="1">
      <alignment horizontal="center"/>
    </xf>
    <xf numFmtId="10" fontId="39" fillId="10" borderId="0" xfId="4" applyNumberFormat="1" applyFont="1" applyFill="1"/>
    <xf numFmtId="0" fontId="39" fillId="10" borderId="0" xfId="4" applyFont="1" applyFill="1" applyAlignment="1">
      <alignment horizontal="left"/>
    </xf>
    <xf numFmtId="165" fontId="40" fillId="10" borderId="47" xfId="4" applyNumberFormat="1" applyFont="1" applyFill="1" applyBorder="1" applyAlignment="1">
      <alignment horizontal="center"/>
    </xf>
    <xf numFmtId="1" fontId="30" fillId="10" borderId="0" xfId="4" applyNumberFormat="1" applyFont="1" applyFill="1"/>
    <xf numFmtId="0" fontId="39" fillId="10" borderId="0" xfId="4" applyFont="1" applyFill="1" applyAlignment="1">
      <alignment horizontal="right"/>
    </xf>
    <xf numFmtId="164" fontId="39" fillId="14" borderId="31" xfId="0" applyNumberFormat="1" applyFont="1" applyFill="1" applyBorder="1" applyAlignment="1">
      <alignment horizontal="left" indent="2"/>
    </xf>
    <xf numFmtId="0" fontId="42" fillId="10" borderId="31" xfId="0" applyFont="1" applyFill="1" applyBorder="1" applyAlignment="1">
      <alignment horizontal="center"/>
    </xf>
    <xf numFmtId="0" fontId="42" fillId="10" borderId="31" xfId="0" applyFont="1" applyFill="1" applyBorder="1" applyAlignment="1">
      <alignment horizontal="center" vertical="center"/>
    </xf>
    <xf numFmtId="0" fontId="42" fillId="10" borderId="31" xfId="0" applyFont="1" applyFill="1" applyBorder="1" applyAlignment="1">
      <alignment horizontal="right" vertical="center"/>
    </xf>
    <xf numFmtId="0" fontId="39" fillId="10" borderId="31" xfId="0" applyFont="1" applyFill="1" applyBorder="1" applyAlignment="1">
      <alignment horizontal="center"/>
    </xf>
    <xf numFmtId="14" fontId="49" fillId="15" borderId="0" xfId="6" applyNumberFormat="1" applyFont="1" applyFill="1" applyAlignment="1">
      <alignment horizontal="right" vertical="center"/>
    </xf>
    <xf numFmtId="17" fontId="33" fillId="10" borderId="30" xfId="4" applyNumberFormat="1" applyFont="1" applyFill="1" applyBorder="1" applyAlignment="1">
      <alignment horizontal="center"/>
    </xf>
    <xf numFmtId="165" fontId="40" fillId="10" borderId="32" xfId="4" applyNumberFormat="1" applyFont="1" applyFill="1" applyBorder="1" applyAlignment="1">
      <alignment horizontal="center"/>
    </xf>
    <xf numFmtId="0" fontId="45" fillId="10" borderId="30" xfId="4" applyFont="1" applyFill="1" applyBorder="1"/>
    <xf numFmtId="0" fontId="42" fillId="10" borderId="33" xfId="0" applyFont="1" applyFill="1" applyBorder="1" applyAlignment="1">
      <alignment horizontal="center" vertical="center"/>
    </xf>
    <xf numFmtId="0" fontId="39" fillId="10" borderId="31" xfId="0" applyFont="1" applyFill="1" applyBorder="1"/>
    <xf numFmtId="1" fontId="0" fillId="10" borderId="0" xfId="4" applyNumberFormat="1" applyFont="1" applyFill="1" applyAlignment="1">
      <alignment horizontal="center"/>
    </xf>
    <xf numFmtId="1" fontId="40" fillId="10" borderId="0" xfId="4" applyNumberFormat="1" applyFont="1" applyFill="1" applyAlignment="1">
      <alignment horizontal="center"/>
    </xf>
    <xf numFmtId="2" fontId="5" fillId="0" borderId="0" xfId="0" applyNumberFormat="1" applyFont="1"/>
    <xf numFmtId="2" fontId="19" fillId="3" borderId="29" xfId="0" applyNumberFormat="1" applyFont="1" applyFill="1" applyBorder="1" applyAlignment="1">
      <alignment horizontal="center" wrapText="1"/>
    </xf>
    <xf numFmtId="2" fontId="20" fillId="0" borderId="0" xfId="0" applyNumberFormat="1" applyFont="1"/>
    <xf numFmtId="0" fontId="39" fillId="0" borderId="30" xfId="4" applyFont="1" applyBorder="1" applyAlignment="1">
      <alignment horizontal="center"/>
    </xf>
    <xf numFmtId="0" fontId="39" fillId="16" borderId="0" xfId="4" applyFont="1" applyFill="1" applyAlignment="1">
      <alignment horizontal="center"/>
    </xf>
    <xf numFmtId="166" fontId="39" fillId="0" borderId="34" xfId="4" applyNumberFormat="1" applyFont="1" applyBorder="1" applyAlignment="1">
      <alignment horizontal="center"/>
    </xf>
    <xf numFmtId="166" fontId="39" fillId="17" borderId="34" xfId="4" applyNumberFormat="1" applyFont="1" applyFill="1" applyBorder="1" applyAlignment="1">
      <alignment horizontal="center"/>
    </xf>
    <xf numFmtId="166" fontId="0" fillId="10" borderId="0" xfId="4" applyNumberFormat="1" applyFont="1" applyFill="1" applyAlignment="1">
      <alignment horizontal="center"/>
    </xf>
    <xf numFmtId="9" fontId="0" fillId="0" borderId="0" xfId="0" applyNumberFormat="1"/>
    <xf numFmtId="9" fontId="39" fillId="10" borderId="0" xfId="7" applyFont="1" applyFill="1" applyAlignment="1">
      <alignment horizontal="center"/>
    </xf>
    <xf numFmtId="0" fontId="39" fillId="6" borderId="34" xfId="4" applyFont="1" applyFill="1" applyBorder="1"/>
    <xf numFmtId="165" fontId="39" fillId="10" borderId="32" xfId="4" applyNumberFormat="1" applyFont="1" applyFill="1" applyBorder="1" applyAlignment="1">
      <alignment horizontal="center"/>
    </xf>
    <xf numFmtId="165" fontId="39" fillId="10" borderId="33" xfId="4" applyNumberFormat="1" applyFont="1" applyFill="1" applyBorder="1" applyAlignment="1">
      <alignment horizontal="center"/>
    </xf>
    <xf numFmtId="165" fontId="39" fillId="10" borderId="31" xfId="4" applyNumberFormat="1" applyFont="1" applyFill="1" applyBorder="1" applyAlignment="1">
      <alignment horizontal="center"/>
    </xf>
    <xf numFmtId="0" fontId="17" fillId="0" borderId="5" xfId="0" applyFont="1" applyBorder="1"/>
    <xf numFmtId="14" fontId="17" fillId="0" borderId="5" xfId="0" applyNumberFormat="1" applyFont="1" applyBorder="1" applyAlignment="1">
      <alignment horizontal="right"/>
    </xf>
    <xf numFmtId="14" fontId="18" fillId="0" borderId="6" xfId="0" applyNumberFormat="1" applyFont="1" applyBorder="1"/>
    <xf numFmtId="49" fontId="10" fillId="0" borderId="0" xfId="0" applyNumberFormat="1" applyFont="1" applyAlignment="1">
      <alignment horizontal="left"/>
    </xf>
    <xf numFmtId="49" fontId="5" fillId="0" borderId="0" xfId="0" applyNumberFormat="1" applyFont="1"/>
    <xf numFmtId="49" fontId="19" fillId="2" borderId="20" xfId="0" applyNumberFormat="1" applyFont="1" applyFill="1" applyBorder="1" applyAlignment="1">
      <alignment horizontal="center"/>
    </xf>
    <xf numFmtId="49" fontId="18" fillId="0" borderId="21" xfId="0" applyNumberFormat="1" applyFont="1" applyBorder="1" applyAlignment="1">
      <alignment horizontal="center"/>
    </xf>
    <xf numFmtId="49" fontId="18" fillId="0" borderId="28" xfId="0" applyNumberFormat="1" applyFont="1" applyBorder="1" applyAlignment="1">
      <alignment horizontal="center"/>
    </xf>
    <xf numFmtId="49" fontId="18" fillId="10" borderId="28" xfId="0" applyNumberFormat="1" applyFont="1" applyFill="1" applyBorder="1" applyAlignment="1">
      <alignment horizontal="center"/>
    </xf>
    <xf numFmtId="14" fontId="17" fillId="10" borderId="8" xfId="0" applyNumberFormat="1" applyFont="1" applyFill="1" applyBorder="1" applyAlignment="1">
      <alignment horizontal="right"/>
    </xf>
    <xf numFmtId="49" fontId="18" fillId="10" borderId="21" xfId="0" applyNumberFormat="1" applyFont="1" applyFill="1" applyBorder="1" applyAlignment="1">
      <alignment horizontal="center"/>
    </xf>
    <xf numFmtId="166" fontId="39" fillId="0" borderId="30" xfId="4" applyNumberFormat="1" applyFont="1" applyBorder="1" applyAlignment="1">
      <alignment horizontal="center"/>
    </xf>
    <xf numFmtId="166" fontId="39" fillId="10" borderId="30" xfId="4" applyNumberFormat="1" applyFont="1" applyFill="1" applyBorder="1" applyAlignment="1">
      <alignment horizontal="center"/>
    </xf>
    <xf numFmtId="166" fontId="39" fillId="10" borderId="34" xfId="4" applyNumberFormat="1" applyFont="1" applyFill="1" applyBorder="1" applyAlignment="1">
      <alignment horizontal="center"/>
    </xf>
    <xf numFmtId="0" fontId="17" fillId="0" borderId="8" xfId="0" applyFont="1" applyBorder="1" applyAlignment="1">
      <alignment horizontal="right"/>
    </xf>
    <xf numFmtId="17" fontId="5" fillId="0" borderId="0" xfId="0" applyNumberFormat="1" applyFont="1"/>
    <xf numFmtId="49" fontId="18" fillId="6" borderId="28" xfId="0" applyNumberFormat="1" applyFont="1" applyFill="1" applyBorder="1" applyAlignment="1">
      <alignment horizontal="center"/>
    </xf>
    <xf numFmtId="0" fontId="39" fillId="18" borderId="0" xfId="4" applyFont="1" applyFill="1"/>
    <xf numFmtId="166" fontId="39" fillId="16" borderId="34" xfId="4" applyNumberFormat="1" applyFont="1" applyFill="1" applyBorder="1" applyAlignment="1">
      <alignment horizontal="center"/>
    </xf>
    <xf numFmtId="17" fontId="20" fillId="0" borderId="0" xfId="0" applyNumberFormat="1" applyFont="1"/>
    <xf numFmtId="0" fontId="20" fillId="16" borderId="0" xfId="0" applyFont="1" applyFill="1"/>
    <xf numFmtId="0" fontId="20" fillId="0" borderId="0" xfId="0" applyFont="1" applyAlignment="1">
      <alignment wrapText="1"/>
    </xf>
  </cellXfs>
  <cellStyles count="10">
    <cellStyle name="Comma" xfId="6" builtinId="3"/>
    <cellStyle name="Comma 2" xfId="5" xr:uid="{214268BA-37FA-4EFB-90CF-736AFDFD6E35}"/>
    <cellStyle name="Comma 2 2" xfId="8" xr:uid="{73ADA5A5-A771-44A5-89F1-375CEF4D516A}"/>
    <cellStyle name="Comma 3" xfId="9" xr:uid="{E00DFC6F-56FA-4D69-A6B0-283AB7BDF2C1}"/>
    <cellStyle name="Hyperlink" xfId="1" builtinId="8"/>
    <cellStyle name="Normal" xfId="0" builtinId="0"/>
    <cellStyle name="Normal 2" xfId="2" xr:uid="{284D0743-8748-45C5-940C-19A3E8AB0FEA}"/>
    <cellStyle name="Normal 3" xfId="3" xr:uid="{4557F5E7-6378-4DFF-8FF3-F0D13625D75C}"/>
    <cellStyle name="Normal 3 2" xfId="4" xr:uid="{16A4B9D7-0274-45F3-BFCC-D4E5A5A64D95}"/>
    <cellStyle name="Percent" xfId="7" builtinId="5"/>
  </cellStyles>
  <dxfs count="5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top style="thin">
          <color rgb="FFA6A6A6"/>
        </top>
      </border>
    </dxf>
    <dxf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</dxf>
    <dxf>
      <border>
        <bottom style="thin">
          <color rgb="FFA6A6A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rgb="FF000000"/>
          <bgColor theme="5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93939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top style="thin">
          <color rgb="FFA6A6A6"/>
        </top>
      </border>
    </dxf>
    <dxf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</dxf>
    <dxf>
      <border>
        <bottom style="thin">
          <color rgb="FFA6A6A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solid">
          <fgColor rgb="FF000000"/>
          <bgColor rgb="FFFFC0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93939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A6A6A6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top style="thin">
          <color rgb="FFA6A6A6"/>
        </top>
      </border>
    </dxf>
    <dxf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</dxf>
    <dxf>
      <border>
        <bottom style="thin">
          <color rgb="FFA6A6A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solid">
          <fgColor rgb="FF000000"/>
          <bgColor rgb="FFFFC0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 Light"/>
        <family val="2"/>
        <scheme val="none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family val="2"/>
        <scheme val="none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numFmt numFmtId="22" formatCode="mmm\-yy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numFmt numFmtId="22" formatCode="mmm\-yy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/>
      </border>
    </dxf>
    <dxf>
      <border>
        <top style="thin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</dxf>
    <dxf>
      <border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family val="2"/>
        <scheme val="none"/>
      </font>
      <fill>
        <patternFill patternType="solid">
          <fgColor theme="6"/>
          <bgColor theme="6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numFmt numFmtId="21" formatCode="d\-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</dxf>
    <dxf>
      <border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rgb="FF000000"/>
          <bgColor theme="5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93939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</dxf>
    <dxf>
      <border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solid">
          <fgColor rgb="FF000000"/>
          <bgColor rgb="FFFFC0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93939"/>
        <name val="Calibri Ligh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A6A6A6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top style="thin">
          <color rgb="FFA6A6A6"/>
        </top>
      </border>
    </dxf>
    <dxf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</dxf>
    <dxf>
      <border>
        <bottom style="thin">
          <color rgb="FFA6A6A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solid">
          <fgColor rgb="FF000000"/>
          <bgColor rgb="FFFFC0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22" formatCode="mmm\-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22" formatCode="mmm\-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left" vertical="bottom" textRotation="0" wrapText="0" indent="2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22" formatCode="mmm\-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left" vertical="bottom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22" formatCode="mmm\-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left" vertical="bottom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22" formatCode="mmm\-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22" formatCode="mmm\-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rgb="FFD9D9D9"/>
        </left>
        <right style="hair">
          <color rgb="FFD9D9D9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  <border diagonalUp="0" diagonalDown="0" outline="0">
        <left style="hair">
          <color rgb="FFD9D9D9"/>
        </left>
        <right style="hair">
          <color rgb="FFD9D9D9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  <border diagonalUp="0" diagonalDown="0" outline="0">
        <left style="hair">
          <color rgb="FFD9D9D9"/>
        </left>
        <right style="hair">
          <color rgb="FFD9D9D9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  <border diagonalUp="0" diagonalDown="0" outline="0">
        <left style="hair">
          <color rgb="FFD9D9D9"/>
        </left>
        <right style="hair">
          <color rgb="FFD9D9D9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rgb="FFD9D9D9"/>
        </left>
        <right/>
        <top style="hair">
          <color rgb="FFD9D9D9"/>
        </top>
        <bottom style="hair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left" vertical="bottom" textRotation="0" wrapText="0" indent="2" justifyLastLine="0" shrinkToFit="0" readingOrder="0"/>
      <border diagonalUp="0" diagonalDown="0" outline="0">
        <left/>
        <right/>
        <top style="hair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left" vertical="bottom" textRotation="0" wrapText="0" indent="2" justifyLastLine="0" shrinkToFit="0" readingOrder="0"/>
      <border diagonalUp="0" diagonalDown="0">
        <left/>
        <right style="hair">
          <color rgb="FFD9D9D9"/>
        </right>
        <top style="hair">
          <color rgb="FFD9D9D9"/>
        </top>
        <bottom style="hair">
          <color rgb="FFD9D9D9"/>
        </bottom>
        <vertical/>
        <horizontal/>
      </border>
    </dxf>
    <dxf>
      <border outline="0">
        <top style="hair">
          <color rgb="FFD9D9D9"/>
        </top>
      </border>
    </dxf>
    <dxf>
      <border outline="0">
        <left style="hair">
          <color rgb="FFD9D9D9"/>
        </left>
        <right style="hair">
          <color rgb="FFD9D9D9"/>
        </right>
        <top style="hair">
          <color rgb="FFD9D9D9"/>
        </top>
        <bottom style="hair">
          <color rgb="FFD9D9D9"/>
        </bottom>
      </border>
    </dxf>
    <dxf>
      <border outline="0">
        <bottom style="hair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rgb="FF92D05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rgb="FFD9D9D9"/>
        </left>
        <right/>
        <top style="hair">
          <color rgb="FFD9D9D9"/>
        </top>
        <bottom style="hair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left" vertical="bottom" textRotation="0" wrapText="0" indent="2" justifyLastLine="0" shrinkToFit="0" readingOrder="0"/>
      <border diagonalUp="0" diagonalDown="0">
        <left/>
        <right style="hair">
          <color rgb="FFD9D9D9"/>
        </right>
        <top style="hair">
          <color rgb="FFD9D9D9"/>
        </top>
        <bottom style="hair">
          <color rgb="FFD9D9D9"/>
        </bottom>
        <vertical/>
        <horizontal/>
      </border>
    </dxf>
    <dxf>
      <border outline="0">
        <top style="hair">
          <color rgb="FFD9D9D9"/>
        </top>
      </border>
    </dxf>
    <dxf>
      <border outline="0">
        <left style="hair">
          <color rgb="FFD9D9D9"/>
        </left>
        <right style="hair">
          <color rgb="FFD9D9D9"/>
        </right>
        <top style="hair">
          <color rgb="FFD9D9D9"/>
        </top>
        <bottom style="hair">
          <color rgb="FFD9D9D9"/>
        </bottom>
      </border>
    </dxf>
    <dxf>
      <border outline="0">
        <bottom style="hair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  <border diagonalUp="0" diagonalDown="0" outline="0">
        <left style="hair">
          <color rgb="FFD9D9D9"/>
        </left>
        <right style="hair">
          <color rgb="FFD9D9D9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rgb="FFD9D9D9"/>
        </left>
        <right/>
        <top style="hair">
          <color rgb="FFD9D9D9"/>
        </top>
        <bottom style="hair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left" vertical="bottom" textRotation="0" wrapText="0" indent="2" justifyLastLine="0" shrinkToFit="0" readingOrder="0"/>
      <border diagonalUp="0" diagonalDown="0" outline="0">
        <left/>
        <right/>
        <top style="hair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3"/>
        <name val="arial"/>
        <family val="2"/>
        <scheme val="none"/>
      </font>
      <numFmt numFmtId="164" formatCode="_-* #,##0_-;\-* #,##0_-;_-* &quot;-&quot;??_-;_-@_-"/>
      <fill>
        <patternFill patternType="solid">
          <fgColor rgb="FFFFFFFF"/>
          <bgColor theme="0"/>
        </patternFill>
      </fill>
      <alignment horizontal="left" vertical="bottom" textRotation="0" wrapText="0" indent="2" justifyLastLine="0" shrinkToFit="0" readingOrder="0"/>
      <border diagonalUp="0" diagonalDown="0">
        <left/>
        <right style="hair">
          <color rgb="FFD9D9D9"/>
        </right>
        <top style="hair">
          <color rgb="FFD9D9D9"/>
        </top>
        <bottom style="hair">
          <color rgb="FFD9D9D9"/>
        </bottom>
        <vertical/>
        <horizontal/>
      </border>
    </dxf>
    <dxf>
      <border outline="0">
        <top style="hair">
          <color rgb="FFD9D9D9"/>
        </top>
      </border>
    </dxf>
    <dxf>
      <border outline="0">
        <left style="hair">
          <color rgb="FFD9D9D9"/>
        </left>
        <right style="hair">
          <color rgb="FFD9D9D9"/>
        </right>
        <top style="hair">
          <color rgb="FFD9D9D9"/>
        </top>
        <bottom style="hair">
          <color rgb="FFD9D9D9"/>
        </bottom>
      </border>
    </dxf>
    <dxf>
      <border outline="0">
        <bottom style="hair">
          <color rgb="FFD9D9D9"/>
        </bottom>
      </border>
    </dxf>
  </dxfs>
  <tableStyles count="0" defaultTableStyle="TableStyleMedium2" defaultPivotStyle="PivotStyleLight16"/>
  <colors>
    <mruColors>
      <color rgb="FFFFD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601889</xdr:colOff>
      <xdr:row>0</xdr:row>
      <xdr:rowOff>17990</xdr:rowOff>
    </xdr:from>
    <xdr:to>
      <xdr:col>15</xdr:col>
      <xdr:colOff>73448</xdr:colOff>
      <xdr:row>2</xdr:row>
      <xdr:rowOff>73236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52396DD-15A5-4B2D-86EA-5367597B2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3306" b="15728"/>
        <a:stretch/>
      </xdr:blipFill>
      <xdr:spPr>
        <a:xfrm>
          <a:off x="12660539" y="17990"/>
          <a:ext cx="2161419" cy="615951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Nick Steevens" id="{870CF5E3-4F94-42A4-B269-BE3382A6052A}" userId="S::nick.steevens@datatorque.com::c5eeaa82-3397-4864-87bf-8a7f94b262f4" providerId="AD"/>
  <person displayName="Laura McPherson" id="{6F001FE2-E837-4EBC-8C8F-7D1FAE62E2BC}" userId="S::laura.mcpherson@datatorque.com::db78ea77-2c65-4496-9b43-3bdc70778746" providerId="AD"/>
  <person displayName="Rebecca Proffitt" id="{DC2A8E39-C207-48F9-AADA-79202AD671FC}" userId="S::rebecca.proffitt@datatorque.com::6d7dc2b2-bde2-4926-8756-bba2147341a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 McPherson" refreshedDate="45903.570969907407" createdVersion="8" refreshedVersion="8" minRefreshableVersion="3" recordCount="297" xr:uid="{EC7C28E8-61B2-4FCF-8C5B-96D401BEF9DA}">
  <cacheSource type="worksheet">
    <worksheetSource name="Table17"/>
  </cacheSource>
  <cacheFields count="21">
    <cacheField name="Employee ID" numFmtId="0">
      <sharedItems containsString="0" containsBlank="1" containsNumber="1" containsInteger="1" minValue="21" maxValue="758"/>
    </cacheField>
    <cacheField name="Surname" numFmtId="0">
      <sharedItems containsBlank="1"/>
    </cacheField>
    <cacheField name="First Names" numFmtId="0">
      <sharedItems containsBlank="1"/>
    </cacheField>
    <cacheField name="Start" numFmtId="0">
      <sharedItems containsNonDate="0" containsDate="1" containsString="0" containsBlank="1" minDate="1996-09-30T00:00:00" maxDate="2025-11-11T00:00:00" count="184">
        <d v="1996-09-30T00:00:00"/>
        <d v="2000-09-18T00:00:00"/>
        <d v="2000-10-24T00:00:00"/>
        <d v="2000-11-12T00:00:00"/>
        <d v="2004-08-03T00:00:00"/>
        <d v="2005-05-23T00:00:00"/>
        <d v="2005-07-18T00:00:00"/>
        <d v="2008-01-28T00:00:00"/>
        <d v="2008-07-01T00:00:00"/>
        <d v="2009-05-25T00:00:00"/>
        <d v="2009-09-11T00:00:00"/>
        <d v="2012-02-20T00:00:00"/>
        <d v="2012-07-30T00:00:00"/>
        <d v="2012-09-19T00:00:00"/>
        <d v="2013-04-26T00:00:00"/>
        <d v="2014-01-02T00:00:00"/>
        <d v="2014-01-12T00:00:00"/>
        <d v="2014-01-13T00:00:00"/>
        <d v="2014-03-03T00:00:00"/>
        <d v="2014-03-17T00:00:00"/>
        <d v="2014-11-14T00:00:00"/>
        <d v="2014-12-11T00:00:00"/>
        <d v="2016-01-08T00:00:00"/>
        <d v="2016-03-06T00:00:00"/>
        <d v="2017-01-06T00:00:00"/>
        <d v="2017-03-07T00:00:00"/>
        <d v="2017-10-16T00:00:00"/>
        <d v="2017-11-20T00:00:00"/>
        <d v="2017-11-27T00:00:00"/>
        <d v="2018-04-06T00:00:00"/>
        <d v="2018-04-30T00:00:00"/>
        <d v="2018-08-01T00:00:00"/>
        <d v="2018-08-27T00:00:00"/>
        <d v="2019-01-07T00:00:00"/>
        <d v="2019-04-29T00:00:00"/>
        <d v="2019-05-13T00:00:00"/>
        <d v="2019-05-20T00:00:00"/>
        <d v="2019-06-17T00:00:00"/>
        <d v="2019-07-29T00:00:00"/>
        <d v="2019-10-29T00:00:00"/>
        <d v="2019-11-15T00:00:00"/>
        <d v="2020-01-31T00:00:00"/>
        <d v="2020-03-02T00:00:00"/>
        <d v="2020-03-23T00:00:00"/>
        <d v="2020-06-24T00:00:00"/>
        <d v="2020-07-15T00:00:00"/>
        <d v="2020-07-20T00:00:00"/>
        <d v="2020-09-01T00:00:00"/>
        <d v="2021-01-11T00:00:00"/>
        <d v="2021-02-07T00:00:00"/>
        <d v="2021-02-22T00:00:00"/>
        <d v="2021-03-15T00:00:00"/>
        <d v="2021-04-13T00:00:00"/>
        <d v="2021-05-13T00:00:00"/>
        <d v="2021-05-20T00:00:00"/>
        <d v="2021-05-27T00:00:00"/>
        <d v="2021-06-12T00:00:00"/>
        <d v="2021-06-14T00:00:00"/>
        <d v="2021-07-14T00:00:00"/>
        <d v="2021-08-03T00:00:00"/>
        <d v="2021-08-23T00:00:00"/>
        <d v="2021-09-02T00:00:00"/>
        <d v="2021-09-08T00:00:00"/>
        <d v="2021-09-20T00:00:00"/>
        <d v="2021-09-27T00:00:00"/>
        <d v="2021-10-03T00:00:00"/>
        <d v="2021-10-05T00:00:00"/>
        <d v="2021-11-01T00:00:00"/>
        <d v="2021-11-15T00:00:00"/>
        <d v="2021-11-29T00:00:00"/>
        <d v="2021-12-04T00:00:00"/>
        <d v="2021-12-17T00:00:00"/>
        <d v="2022-01-17T00:00:00"/>
        <d v="2022-03-10T00:00:00"/>
        <d v="2022-03-15T00:00:00"/>
        <d v="2022-03-21T00:00:00"/>
        <d v="2022-04-18T00:00:00"/>
        <d v="2022-05-23T00:00:00"/>
        <d v="2022-06-06T00:00:00"/>
        <d v="2022-06-13T00:00:00"/>
        <d v="2022-06-17T00:00:00"/>
        <d v="2022-06-20T00:00:00"/>
        <d v="2022-08-01T00:00:00"/>
        <d v="2022-08-15T00:00:00"/>
        <d v="2022-08-17T00:00:00"/>
        <d v="2022-08-22T00:00:00"/>
        <d v="2022-09-12T00:00:00"/>
        <d v="2022-09-19T00:00:00"/>
        <d v="2022-10-10T00:00:00"/>
        <d v="2022-10-17T00:00:00"/>
        <d v="2022-10-25T00:00:00"/>
        <d v="2022-11-14T00:00:00"/>
        <d v="2022-11-21T00:00:00"/>
        <d v="2022-11-25T00:00:00"/>
        <d v="2023-01-03T00:00:00"/>
        <d v="2023-01-16T00:00:00"/>
        <d v="2023-01-25T00:00:00"/>
        <d v="2023-02-06T00:00:00"/>
        <d v="2023-02-10T00:00:00"/>
        <d v="2023-02-11T00:00:00"/>
        <d v="2023-02-14T00:00:00"/>
        <d v="2023-03-13T00:00:00"/>
        <d v="2023-04-11T00:00:00"/>
        <d v="2023-04-17T00:00:00"/>
        <d v="2023-06-06T00:00:00"/>
        <d v="2023-07-08T00:00:00"/>
        <d v="2023-07-31T00:00:00"/>
        <d v="2023-08-14T00:00:00"/>
        <d v="2023-08-21T00:00:00"/>
        <d v="2023-08-31T00:00:00"/>
        <d v="2023-09-01T00:00:00"/>
        <d v="2023-09-08T00:00:00"/>
        <d v="2023-09-18T00:00:00"/>
        <d v="2023-10-01T00:00:00"/>
        <d v="2023-10-02T00:00:00"/>
        <d v="2023-10-16T00:00:00"/>
        <d v="2023-10-30T00:00:00"/>
        <d v="2023-11-01T00:00:00"/>
        <d v="2023-11-06T00:00:00"/>
        <d v="2023-11-23T00:00:00"/>
        <d v="2023-12-19T00:00:00"/>
        <d v="2024-01-04T00:00:00"/>
        <d v="2024-01-15T00:00:00"/>
        <d v="2024-01-22T00:00:00"/>
        <d v="2024-02-12T00:00:00"/>
        <d v="2024-03-12T00:00:00"/>
        <d v="2024-03-14T00:00:00"/>
        <d v="2024-03-25T00:00:00"/>
        <d v="2024-04-02T00:00:00"/>
        <d v="2024-04-03T00:00:00"/>
        <d v="2024-04-04T00:00:00"/>
        <d v="2024-04-22T00:00:00"/>
        <d v="2024-04-30T00:00:00"/>
        <d v="2024-05-07T00:00:00"/>
        <d v="2024-05-13T00:00:00"/>
        <d v="2024-05-27T00:00:00"/>
        <d v="2024-06-17T00:00:00"/>
        <d v="2024-07-01T00:00:00"/>
        <d v="2024-07-08T00:00:00"/>
        <d v="2024-07-10T00:00:00"/>
        <d v="2024-07-15T00:00:00"/>
        <d v="2024-07-29T00:00:00"/>
        <d v="2024-08-05T00:00:00"/>
        <d v="2024-08-12T00:00:00"/>
        <d v="2024-08-26T00:00:00"/>
        <d v="2024-09-02T00:00:00"/>
        <d v="2024-09-11T00:00:00"/>
        <d v="2024-09-18T00:00:00"/>
        <d v="2024-09-23T00:00:00"/>
        <d v="2024-09-30T00:00:00"/>
        <d v="2024-10-07T00:00:00"/>
        <d v="2024-10-09T00:00:00"/>
        <d v="2024-10-14T00:00:00"/>
        <d v="2024-10-21T00:00:00"/>
        <d v="2024-10-30T00:00:00"/>
        <d v="2024-10-31T00:00:00"/>
        <d v="2024-12-02T00:00:00"/>
        <d v="2025-01-06T00:00:00"/>
        <d v="2025-01-10T00:00:00"/>
        <d v="2025-01-13T00:00:00"/>
        <d v="2025-02-18T00:00:00"/>
        <d v="2025-03-17T00:00:00"/>
        <d v="2025-03-24T00:00:00"/>
        <d v="2025-04-01T00:00:00"/>
        <d v="2025-05-19T00:00:00"/>
        <d v="2025-06-05T00:00:00"/>
        <d v="2025-06-09T00:00:00"/>
        <d v="2025-06-16T00:00:00"/>
        <d v="2025-06-24T00:00:00"/>
        <d v="2025-07-14T00:00:00"/>
        <d v="2025-07-17T00:00:00"/>
        <d v="2025-07-21T00:00:00"/>
        <d v="2025-08-04T00:00:00"/>
        <d v="2025-08-11T00:00:00"/>
        <d v="2025-08-18T00:00:00"/>
        <d v="2025-08-25T00:00:00"/>
        <d v="2025-09-02T00:00:00"/>
        <d v="2025-09-08T00:00:00"/>
        <d v="2025-09-15T00:00:00"/>
        <d v="2025-09-22T00:00:00"/>
        <d v="2025-09-29T00:00:00"/>
        <d v="2025-11-01T00:00:00"/>
        <d v="2025-11-10T00:00:00"/>
        <m/>
      </sharedItems>
    </cacheField>
    <cacheField name="Job Title" numFmtId="0">
      <sharedItems containsBlank="1"/>
    </cacheField>
    <cacheField name="Office" numFmtId="0">
      <sharedItems containsBlank="1" count="7">
        <s v="New Zealand"/>
        <s v="Costa Rica"/>
        <s v="Remote"/>
        <s v="NZ Remote"/>
        <s v="Cyprus"/>
        <m/>
        <s v="New Zealand (Remote)" u="1"/>
      </sharedItems>
    </cacheField>
    <cacheField name="Vertical" numFmtId="0">
      <sharedItems containsBlank="1" count="35">
        <s v="Development"/>
        <s v="Leadership "/>
        <s v="Delivery Management"/>
        <s v="Platform - Zephyr"/>
        <s v="Testing"/>
        <s v="Planning"/>
        <s v="Finance"/>
        <s v="Technology"/>
        <s v="Consultant"/>
        <s v="Business Analyst"/>
        <s v="People"/>
        <s v="Partners"/>
        <s v="Infrastructure"/>
        <s v="Platform - Ostro"/>
        <s v="Practice/ People"/>
        <s v="Sales"/>
        <s v="Platform- Zephyr"/>
        <s v="Business Coordination"/>
        <s v="Project Management"/>
        <s v="People &amp; Development"/>
        <s v="Database"/>
        <m/>
        <s v="Training"/>
        <s v="Translator "/>
        <s v="Security"/>
        <s v="Advisory"/>
        <s v="Service Delivery" u="1"/>
        <s v="Platform - Manager" u="1"/>
        <s v="Service Delivery Development" u="1"/>
        <s v="Platform - Product" u="1"/>
        <s v="People &amp; Test" u="1"/>
        <s v="Business Development" u="1"/>
        <s v="Technical Development" u="1"/>
        <s v="Technology " u="1"/>
        <s v="Technical Consultant " u="1"/>
      </sharedItems>
    </cacheField>
    <cacheField name="Current Region" numFmtId="0">
      <sharedItems containsBlank="1" count="12">
        <s v="Europe"/>
        <s v="Americas"/>
        <s v="Engineering"/>
        <s v="Sales"/>
        <s v="Asia Pacific"/>
        <s v="ELT"/>
        <s v="Shared Services"/>
        <s v="Advisory, Data &amp;AI"/>
        <s v="Clever Cloud"/>
        <s v="CEO"/>
        <m/>
        <s v="Finance + People" u="1"/>
      </sharedItems>
    </cacheField>
    <cacheField name="Line manager" numFmtId="0">
      <sharedItems containsBlank="1"/>
    </cacheField>
    <cacheField name="Current project/team - primary" numFmtId="0">
      <sharedItems containsBlank="1" count="35">
        <s v="Europe Region "/>
        <s v="ELT"/>
        <s v="Platform"/>
        <s v="Jersey"/>
        <s v="Belize"/>
        <m/>
        <s v="Cyprus"/>
        <s v="Ostro"/>
        <s v="Portfolio planning &amp; reporting"/>
        <s v="Finance"/>
        <s v="Technology"/>
        <s v="IOM"/>
        <s v="ADAPT "/>
        <s v="Guyana"/>
        <s v="Bhutan"/>
        <s v="People"/>
        <s v="Data Migration"/>
        <s v="Technology - Infrastructure"/>
        <s v="Solomon Is."/>
        <s v="Asia Pacific Region"/>
        <s v="Sales"/>
        <s v="Technology - DBA"/>
        <s v="Barbados"/>
        <s v="Americas Region"/>
        <s v="Training"/>
        <s v="Implementaion Support"/>
        <s v="Technology - DevOps"/>
        <s v="Bahamas"/>
        <s v="Security"/>
        <s v="Support"/>
        <s v="Cloud"/>
        <s v="Information Management"/>
        <s v="Emerging products"/>
        <s v="Cook Is." u="1"/>
        <s v="DevOps" u="1"/>
      </sharedItems>
    </cacheField>
    <cacheField name="Day 1 Region" numFmtId="0">
      <sharedItems containsBlank="1"/>
    </cacheField>
    <cacheField name="New alignment - day 90" numFmtId="0">
      <sharedItems containsBlank="1"/>
    </cacheField>
    <cacheField name="Transition date" numFmtId="0">
      <sharedItems containsDate="1" containsBlank="1" containsMixedTypes="1" minDate="2024-06-24T00:00:00" maxDate="2024-12-10T00:00:00"/>
    </cacheField>
    <cacheField name="Transition milestone" numFmtId="0">
      <sharedItems containsBlank="1"/>
    </cacheField>
    <cacheField name="Next project" numFmtId="0">
      <sharedItems containsBlank="1"/>
    </cacheField>
    <cacheField name="Next project date" numFmtId="0">
      <sharedItems containsNonDate="0" containsDate="1" containsString="0" containsBlank="1" minDate="2024-06-24T00:00:00" maxDate="2024-11-02T00:00:00"/>
    </cacheField>
    <cacheField name="Notes" numFmtId="0">
      <sharedItems containsBlank="1"/>
    </cacheField>
    <cacheField name="Leaving Date" numFmtId="0">
      <sharedItems containsNonDate="0" containsDate="1" containsString="0" containsBlank="1" minDate="2024-06-06T00:00:00" maxDate="2025-09-16T00:00:00" count="37">
        <m/>
        <d v="2025-08-22T00:00:00"/>
        <d v="2024-10-11T00:00:00"/>
        <d v="2025-02-28T00:00:00"/>
        <d v="2025-08-06T00:00:00"/>
        <d v="2025-06-27T00:00:00"/>
        <d v="2025-01-17T00:00:00"/>
        <d v="2025-01-23T00:00:00"/>
        <d v="2025-09-05T00:00:00"/>
        <d v="2025-07-04T00:00:00"/>
        <d v="2025-09-07T00:00:00"/>
        <d v="2024-09-20T00:00:00"/>
        <d v="2024-09-23T00:00:00"/>
        <d v="2024-09-11T00:00:00"/>
        <d v="2025-06-10T00:00:00"/>
        <d v="2025-03-28T00:00:00"/>
        <d v="2025-09-15T00:00:00"/>
        <d v="2025-04-24T00:00:00"/>
        <d v="2025-05-02T00:00:00"/>
        <d v="2024-06-14T00:00:00"/>
        <d v="2024-11-22T00:00:00"/>
        <d v="2025-01-01T00:00:00"/>
        <d v="2024-07-23T00:00:00"/>
        <d v="2025-02-14T00:00:00"/>
        <d v="2024-06-06T00:00:00"/>
        <d v="2025-01-10T00:00:00"/>
        <d v="2024-08-09T00:00:00"/>
        <d v="2024-09-27T00:00:00"/>
        <d v="2025-02-11T00:00:00"/>
        <d v="2025-04-04T00:00:00"/>
        <d v="2024-06-27T00:00:00"/>
        <d v="2024-07-05T00:00:00"/>
        <d v="2024-12-20T00:00:00"/>
        <d v="2024-07-12T00:00:00"/>
        <d v="2024-10-23T00:00:00"/>
        <d v="2025-05-16T00:00:00"/>
        <d v="2025-01-14T00:00:00"/>
      </sharedItems>
    </cacheField>
    <cacheField name="Part Time/ Full Time" numFmtId="0">
      <sharedItems containsBlank="1"/>
    </cacheField>
    <cacheField name="FTE" numFmtId="2">
      <sharedItems containsString="0" containsBlank="1" containsNumber="1" minValue="0.2" maxValue="1"/>
    </cacheField>
    <cacheField name="Contractor" numFmtId="0">
      <sharedItems containsBlank="1" count="2">
        <m/>
        <s v="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n v="21"/>
    <s v="EMPSON"/>
    <s v="Wayne"/>
    <x v="0"/>
    <s v="Principal Technical Consultant, Europe"/>
    <x v="0"/>
    <x v="0"/>
    <x v="0"/>
    <s v="Vernon Kay"/>
    <x v="0"/>
    <s v="Europe"/>
    <m/>
    <m/>
    <m/>
    <m/>
    <m/>
    <m/>
    <x v="0"/>
    <s v="FT"/>
    <n v="1"/>
    <x v="0"/>
  </r>
  <r>
    <n v="60"/>
    <s v="MARSHALL"/>
    <s v="Raymond"/>
    <x v="1"/>
    <s v="Vice President Americas"/>
    <x v="1"/>
    <x v="1"/>
    <x v="1"/>
    <s v="Vernon Kay"/>
    <x v="1"/>
    <s v="ELT"/>
    <m/>
    <m/>
    <m/>
    <m/>
    <m/>
    <m/>
    <x v="1"/>
    <s v="FT"/>
    <n v="1"/>
    <x v="0"/>
  </r>
  <r>
    <n v="63"/>
    <s v="NOBLE"/>
    <s v="Brent"/>
    <x v="2"/>
    <s v="Head of Platform"/>
    <x v="0"/>
    <x v="1"/>
    <x v="2"/>
    <s v="Mark Morgan"/>
    <x v="2"/>
    <s v="Engineering"/>
    <m/>
    <m/>
    <m/>
    <m/>
    <m/>
    <m/>
    <x v="0"/>
    <s v="FT"/>
    <n v="1"/>
    <x v="0"/>
  </r>
  <r>
    <n v="65"/>
    <s v="SHEN"/>
    <s v="Dongbo"/>
    <x v="3"/>
    <s v="Senior  Developer"/>
    <x v="0"/>
    <x v="0"/>
    <x v="0"/>
    <s v="Tim Claridge"/>
    <x v="3"/>
    <s v="Europe"/>
    <m/>
    <m/>
    <m/>
    <m/>
    <m/>
    <m/>
    <x v="0"/>
    <s v="FT"/>
    <n v="1"/>
    <x v="0"/>
  </r>
  <r>
    <n v="87"/>
    <s v="MORGAN"/>
    <s v="Mark"/>
    <x v="4"/>
    <s v="Vice President of Engineering"/>
    <x v="0"/>
    <x v="1"/>
    <x v="2"/>
    <s v="Vernon Kay"/>
    <x v="1"/>
    <s v="ELT"/>
    <m/>
    <m/>
    <m/>
    <m/>
    <m/>
    <m/>
    <x v="0"/>
    <s v="FT"/>
    <n v="1"/>
    <x v="0"/>
  </r>
  <r>
    <n v="98"/>
    <s v="O'TOOLE"/>
    <s v="Tom"/>
    <x v="5"/>
    <s v="Senior Developer"/>
    <x v="0"/>
    <x v="0"/>
    <x v="2"/>
    <s v="Brendon Tribe "/>
    <x v="2"/>
    <s v="Engineering"/>
    <m/>
    <m/>
    <m/>
    <m/>
    <m/>
    <m/>
    <x v="0"/>
    <s v="FT"/>
    <n v="1"/>
    <x v="0"/>
  </r>
  <r>
    <n v="101"/>
    <s v="SMITH"/>
    <s v="Len"/>
    <x v="6"/>
    <s v="Senior Project Manager"/>
    <x v="0"/>
    <x v="2"/>
    <x v="1"/>
    <s v="Richard Morrison"/>
    <x v="4"/>
    <s v="Americas"/>
    <m/>
    <m/>
    <m/>
    <m/>
    <m/>
    <m/>
    <x v="0"/>
    <s v="FT"/>
    <n v="1"/>
    <x v="0"/>
  </r>
  <r>
    <n v="117"/>
    <s v="CHATWIN"/>
    <s v="Bill"/>
    <x v="7"/>
    <s v="Managing Director &amp; Head of Sales"/>
    <x v="0"/>
    <x v="1"/>
    <x v="3"/>
    <s v="Vernon Kay"/>
    <x v="1"/>
    <s v="ELT"/>
    <m/>
    <m/>
    <m/>
    <m/>
    <m/>
    <m/>
    <x v="0"/>
    <s v="FT"/>
    <n v="1"/>
    <x v="0"/>
  </r>
  <r>
    <n v="115"/>
    <s v="MCCARTHY"/>
    <s v="Daniel"/>
    <x v="8"/>
    <s v="Senior Developer "/>
    <x v="0"/>
    <x v="0"/>
    <x v="2"/>
    <s v="Brendon Tribe "/>
    <x v="2"/>
    <s v="Asia Pacific"/>
    <m/>
    <m/>
    <m/>
    <m/>
    <m/>
    <s v="Seconded to Engineering till 17 October"/>
    <x v="0"/>
    <s v="FT"/>
    <n v="1"/>
    <x v="0"/>
  </r>
  <r>
    <n v="133"/>
    <s v="RAVLA"/>
    <s v="Jayesh"/>
    <x v="9"/>
    <s v="Development Manager"/>
    <x v="0"/>
    <x v="3"/>
    <x v="2"/>
    <s v="Brent Noble"/>
    <x v="5"/>
    <s v="Engineering"/>
    <m/>
    <m/>
    <m/>
    <m/>
    <m/>
    <m/>
    <x v="2"/>
    <m/>
    <n v="1"/>
    <x v="0"/>
  </r>
  <r>
    <n v="138"/>
    <s v="ALDER"/>
    <s v="Blaire"/>
    <x v="10"/>
    <s v="Head of Technical Delivery and Leadership - Europe"/>
    <x v="0"/>
    <x v="0"/>
    <x v="0"/>
    <s v="Vernon Kay"/>
    <x v="6"/>
    <s v="Europe"/>
    <m/>
    <m/>
    <m/>
    <m/>
    <m/>
    <m/>
    <x v="0"/>
    <s v="FT"/>
    <n v="1"/>
    <x v="0"/>
  </r>
  <r>
    <n v="154"/>
    <s v="WOODMAN"/>
    <s v="Nicola"/>
    <x v="11"/>
    <s v="Head of Architecture, Americas"/>
    <x v="0"/>
    <x v="0"/>
    <x v="1"/>
    <s v="Pollob Sharma"/>
    <x v="4"/>
    <s v="Americas"/>
    <m/>
    <m/>
    <m/>
    <m/>
    <m/>
    <m/>
    <x v="0"/>
    <s v="FT"/>
    <n v="1"/>
    <x v="0"/>
  </r>
  <r>
    <n v="153"/>
    <s v="GRANT"/>
    <s v="Jane"/>
    <x v="12"/>
    <s v="VP Asia Pacific "/>
    <x v="0"/>
    <x v="1"/>
    <x v="4"/>
    <s v="Vernon Kay"/>
    <x v="1"/>
    <s v="ELT"/>
    <m/>
    <m/>
    <m/>
    <m/>
    <m/>
    <m/>
    <x v="0"/>
    <s v="FT"/>
    <n v="1"/>
    <x v="0"/>
  </r>
  <r>
    <n v="142"/>
    <s v="HARVISON"/>
    <s v="James"/>
    <x v="13"/>
    <s v="Practice Lead, Solutions Design"/>
    <x v="0"/>
    <x v="0"/>
    <x v="2"/>
    <s v="Brent Noble"/>
    <x v="7"/>
    <s v="Engineering"/>
    <m/>
    <m/>
    <m/>
    <m/>
    <m/>
    <m/>
    <x v="0"/>
    <s v="FT"/>
    <n v="1"/>
    <x v="0"/>
  </r>
  <r>
    <n v="165"/>
    <s v="YANG"/>
    <s v="Wenping"/>
    <x v="14"/>
    <s v="Senior Test Analyst"/>
    <x v="2"/>
    <x v="4"/>
    <x v="2"/>
    <s v="Calli Bradford"/>
    <x v="2"/>
    <s v="Engineering"/>
    <m/>
    <m/>
    <m/>
    <m/>
    <m/>
    <s v="Remote from Australia"/>
    <x v="0"/>
    <s v="FT"/>
    <n v="1"/>
    <x v="0"/>
  </r>
  <r>
    <n v="200"/>
    <s v="FALCONER"/>
    <s v="Lincoln"/>
    <x v="15"/>
    <s v="Director"/>
    <x v="0"/>
    <x v="1"/>
    <x v="5"/>
    <s v="Vernon Kay"/>
    <x v="1"/>
    <s v="ELT"/>
    <m/>
    <m/>
    <m/>
    <m/>
    <m/>
    <s v="No longer an employee but director only "/>
    <x v="3"/>
    <s v="PT"/>
    <n v="1"/>
    <x v="0"/>
  </r>
  <r>
    <n v="211"/>
    <s v="RENNELL"/>
    <s v="Stephen"/>
    <x v="16"/>
    <s v="Principal Developer"/>
    <x v="0"/>
    <x v="0"/>
    <x v="1"/>
    <s v="Richard Morrison"/>
    <x v="4"/>
    <s v="Americas"/>
    <m/>
    <m/>
    <m/>
    <m/>
    <m/>
    <m/>
    <x v="0"/>
    <s v="FT"/>
    <n v="1"/>
    <x v="0"/>
  </r>
  <r>
    <n v="197"/>
    <s v="PROFFITT"/>
    <s v="Rebecca"/>
    <x v="17"/>
    <s v="Senior Advisor Planning"/>
    <x v="0"/>
    <x v="5"/>
    <x v="6"/>
    <s v="Nick Steevens"/>
    <x v="8"/>
    <s v="Finance + People"/>
    <m/>
    <m/>
    <m/>
    <m/>
    <m/>
    <m/>
    <x v="0"/>
    <s v="PT"/>
    <n v="0.8"/>
    <x v="0"/>
  </r>
  <r>
    <n v="202"/>
    <s v="DAWSON"/>
    <s v="Emma"/>
    <x v="18"/>
    <s v="Payroll &amp; Accounts Manager"/>
    <x v="0"/>
    <x v="6"/>
    <x v="6"/>
    <s v="Sharleen Thornley"/>
    <x v="9"/>
    <s v="Finance + People"/>
    <m/>
    <m/>
    <m/>
    <m/>
    <m/>
    <m/>
    <x v="0"/>
    <s v="FT"/>
    <n v="1"/>
    <x v="0"/>
  </r>
  <r>
    <n v="203"/>
    <s v="DUNNING"/>
    <s v="Chris"/>
    <x v="19"/>
    <s v="Senior Developer"/>
    <x v="0"/>
    <x v="0"/>
    <x v="0"/>
    <s v="Blaire Alder"/>
    <x v="6"/>
    <s v="Europe"/>
    <m/>
    <m/>
    <m/>
    <m/>
    <m/>
    <m/>
    <x v="0"/>
    <s v="FT"/>
    <n v="1"/>
    <x v="0"/>
  </r>
  <r>
    <n v="274"/>
    <s v="WOJTAS"/>
    <s v="Aidan"/>
    <x v="20"/>
    <s v="Head of Technology"/>
    <x v="0"/>
    <x v="7"/>
    <x v="2"/>
    <s v="Mark Morgan"/>
    <x v="10"/>
    <s v="Engineering"/>
    <m/>
    <m/>
    <m/>
    <m/>
    <m/>
    <m/>
    <x v="4"/>
    <s v="FT"/>
    <n v="1"/>
    <x v="0"/>
  </r>
  <r>
    <n v="190"/>
    <s v="CLARIDGE"/>
    <s v="Tim"/>
    <x v="21"/>
    <s v="Practice Lead"/>
    <x v="0"/>
    <x v="0"/>
    <x v="0"/>
    <s v="Joe Ede"/>
    <x v="11"/>
    <s v="Europe"/>
    <m/>
    <m/>
    <m/>
    <m/>
    <m/>
    <s v="Move to Jersey from 12 Aug"/>
    <x v="0"/>
    <s v="FT"/>
    <n v="1"/>
    <x v="0"/>
  </r>
  <r>
    <n v="249"/>
    <s v="WILLIAMS"/>
    <s v="Shona"/>
    <x v="22"/>
    <s v="Strategic Advisor "/>
    <x v="3"/>
    <x v="8"/>
    <x v="7"/>
    <s v="Evan Wilson"/>
    <x v="12"/>
    <s v="ELT"/>
    <m/>
    <m/>
    <m/>
    <m/>
    <m/>
    <m/>
    <x v="0"/>
    <s v="FT"/>
    <n v="1"/>
    <x v="0"/>
  </r>
  <r>
    <n v="245"/>
    <s v="TOWNSEND"/>
    <s v="Cara"/>
    <x v="23"/>
    <s v="Engagment Manager"/>
    <x v="0"/>
    <x v="2"/>
    <x v="1"/>
    <s v="Richard Morrison"/>
    <x v="13"/>
    <s v="Engineering"/>
    <m/>
    <s v="Sept"/>
    <m/>
    <m/>
    <m/>
    <m/>
    <x v="0"/>
    <s v="FT"/>
    <n v="1"/>
    <x v="0"/>
  </r>
  <r>
    <n v="264"/>
    <s v="RENNIE"/>
    <s v="Craig"/>
    <x v="24"/>
    <s v="Senior Developer"/>
    <x v="0"/>
    <x v="0"/>
    <x v="0"/>
    <s v="Tim Claridge"/>
    <x v="11"/>
    <s v="Europe"/>
    <m/>
    <m/>
    <m/>
    <m/>
    <m/>
    <s v="Staying Iom 14 Dec on Support"/>
    <x v="0"/>
    <s v="FT"/>
    <n v="1"/>
    <x v="0"/>
  </r>
  <r>
    <n v="265"/>
    <s v="MURTAGH"/>
    <s v="Neil"/>
    <x v="25"/>
    <s v="Principal Architect"/>
    <x v="2"/>
    <x v="0"/>
    <x v="2"/>
    <s v="Brent Noble"/>
    <x v="7"/>
    <s v="Engineering"/>
    <m/>
    <m/>
    <m/>
    <m/>
    <m/>
    <s v="Moved to AUS 21 Aug '24, now fully remote"/>
    <x v="0"/>
    <s v="FT"/>
    <n v="1"/>
    <x v="0"/>
  </r>
  <r>
    <n v="267"/>
    <s v="SWANN"/>
    <s v="Lisa"/>
    <x v="26"/>
    <s v="Pricing &amp; Reporting Manager"/>
    <x v="0"/>
    <x v="5"/>
    <x v="6"/>
    <s v="Nick Steevens"/>
    <x v="8"/>
    <s v="Finance + People"/>
    <m/>
    <m/>
    <m/>
    <m/>
    <m/>
    <m/>
    <x v="0"/>
    <s v="FT"/>
    <n v="1"/>
    <x v="0"/>
  </r>
  <r>
    <n v="275"/>
    <s v="CAPEWELL"/>
    <s v="Jonathan (Jono)"/>
    <x v="27"/>
    <s v="Business Analyst"/>
    <x v="3"/>
    <x v="9"/>
    <x v="0"/>
    <s v="Chris Morton"/>
    <x v="6"/>
    <s v="Europe"/>
    <m/>
    <m/>
    <m/>
    <m/>
    <m/>
    <m/>
    <x v="0"/>
    <s v="FT"/>
    <n v="1"/>
    <x v="0"/>
  </r>
  <r>
    <n v="147"/>
    <s v="THURSTON"/>
    <s v="Sharron"/>
    <x v="28"/>
    <s v="Principal Advisor/Consulting Practice Manager"/>
    <x v="3"/>
    <x v="8"/>
    <x v="4"/>
    <s v="Jane Grant"/>
    <x v="14"/>
    <s v="Europe"/>
    <m/>
    <d v="2024-09-02T00:00:00"/>
    <m/>
    <m/>
    <m/>
    <m/>
    <x v="0"/>
    <s v="FT"/>
    <n v="1"/>
    <x v="0"/>
  </r>
  <r>
    <n v="290"/>
    <s v="MACASKILL"/>
    <s v="Janet "/>
    <x v="29"/>
    <s v="Head of People and Culture"/>
    <x v="0"/>
    <x v="10"/>
    <x v="6"/>
    <s v="Nick Steevens"/>
    <x v="15"/>
    <s v="Finance + People"/>
    <m/>
    <m/>
    <m/>
    <m/>
    <m/>
    <m/>
    <x v="0"/>
    <s v="FT"/>
    <n v="1"/>
    <x v="0"/>
  </r>
  <r>
    <n v="57"/>
    <s v="Sanderson"/>
    <s v="Tom"/>
    <x v="30"/>
    <s v="Technical Consultant"/>
    <x v="2"/>
    <x v="11"/>
    <x v="8"/>
    <s v="Tom Sanderson"/>
    <x v="16"/>
    <m/>
    <m/>
    <m/>
    <m/>
    <m/>
    <m/>
    <m/>
    <x v="0"/>
    <s v="PT"/>
    <n v="0.5"/>
    <x v="0"/>
  </r>
  <r>
    <n v="277"/>
    <s v="CROW"/>
    <s v="Tim"/>
    <x v="31"/>
    <s v="Senior Developer "/>
    <x v="0"/>
    <x v="0"/>
    <x v="2"/>
    <s v="Brendon Tribe "/>
    <x v="2"/>
    <s v="Engineering"/>
    <m/>
    <m/>
    <m/>
    <m/>
    <m/>
    <m/>
    <x v="0"/>
    <s v="FT"/>
    <n v="1"/>
    <x v="0"/>
  </r>
  <r>
    <n v="294"/>
    <s v="FAIRMAID"/>
    <s v="Mark"/>
    <x v="32"/>
    <s v="TechOps Manager "/>
    <x v="0"/>
    <x v="12"/>
    <x v="2"/>
    <s v="Robert Higgins "/>
    <x v="17"/>
    <s v="Engineering"/>
    <m/>
    <m/>
    <m/>
    <m/>
    <m/>
    <m/>
    <x v="0"/>
    <s v="FT"/>
    <n v="1"/>
    <x v="0"/>
  </r>
  <r>
    <n v="316"/>
    <s v="FERGUSON"/>
    <s v="Louise"/>
    <x v="33"/>
    <s v="People and Culture Advisor"/>
    <x v="0"/>
    <x v="10"/>
    <x v="6"/>
    <s v="Janet Macaskill"/>
    <x v="15"/>
    <s v="Finance + People"/>
    <m/>
    <m/>
    <m/>
    <m/>
    <m/>
    <m/>
    <x v="0"/>
    <s v="PT"/>
    <n v="0.7"/>
    <x v="0"/>
  </r>
  <r>
    <n v="308"/>
    <s v="ROBERTS"/>
    <s v="Steven"/>
    <x v="34"/>
    <s v="Solution Architect"/>
    <x v="0"/>
    <x v="13"/>
    <x v="2"/>
    <s v="Neil Murtagh"/>
    <x v="7"/>
    <s v="Engineering"/>
    <m/>
    <m/>
    <m/>
    <m/>
    <m/>
    <m/>
    <x v="5"/>
    <s v="FT"/>
    <n v="1"/>
    <x v="0"/>
  </r>
  <r>
    <n v="306"/>
    <s v="GRANT"/>
    <s v="Fiona"/>
    <x v="35"/>
    <s v="Practice Lead"/>
    <x v="0"/>
    <x v="14"/>
    <x v="4"/>
    <s v="Pollob Sharma"/>
    <x v="18"/>
    <s v="Asia Pacific"/>
    <m/>
    <m/>
    <m/>
    <m/>
    <m/>
    <s v="on Maternity leave - last day 17/1/25"/>
    <x v="6"/>
    <s v="FT"/>
    <n v="1"/>
    <x v="0"/>
  </r>
  <r>
    <n v="311"/>
    <s v="CLIFFORD"/>
    <s v="Jonathan"/>
    <x v="36"/>
    <s v="Head of Client &amp; Commercial Engagement "/>
    <x v="0"/>
    <x v="15"/>
    <x v="4"/>
    <s v="Jane Grant"/>
    <x v="19"/>
    <s v="Asia Pacific"/>
    <m/>
    <m/>
    <m/>
    <m/>
    <m/>
    <m/>
    <x v="0"/>
    <s v="FT"/>
    <n v="1"/>
    <x v="0"/>
  </r>
  <r>
    <n v="315"/>
    <s v="PALEZEVIC"/>
    <s v="Diana"/>
    <x v="37"/>
    <s v="Recruitment and Capability Manager"/>
    <x v="0"/>
    <x v="10"/>
    <x v="6"/>
    <s v="Janet Macaskill"/>
    <x v="15"/>
    <s v="Finance + People"/>
    <m/>
    <m/>
    <m/>
    <m/>
    <m/>
    <m/>
    <x v="7"/>
    <s v="FT"/>
    <n v="1"/>
    <x v="0"/>
  </r>
  <r>
    <n v="320"/>
    <s v="THOMAS"/>
    <s v="Michael"/>
    <x v="38"/>
    <s v="Senior Developer "/>
    <x v="0"/>
    <x v="0"/>
    <x v="0"/>
    <s v="Tim Claridge"/>
    <x v="6"/>
    <s v="Europe"/>
    <m/>
    <m/>
    <m/>
    <m/>
    <m/>
    <m/>
    <x v="0"/>
    <s v="FT"/>
    <n v="1"/>
    <x v="0"/>
  </r>
  <r>
    <n v="333"/>
    <s v="ARZOLA"/>
    <s v="Mark"/>
    <x v="39"/>
    <s v="Senior Developer "/>
    <x v="0"/>
    <x v="0"/>
    <x v="4"/>
    <s v="Jonathan Eagle"/>
    <x v="18"/>
    <s v="Asia Pacific"/>
    <m/>
    <m/>
    <m/>
    <s v="Solomons/Cooks"/>
    <d v="2024-06-24T00:00:00"/>
    <m/>
    <x v="0"/>
    <s v="FT"/>
    <n v="1"/>
    <x v="0"/>
  </r>
  <r>
    <n v="342"/>
    <s v="SALVO"/>
    <s v="Leandro"/>
    <x v="40"/>
    <s v="Technical Lead"/>
    <x v="0"/>
    <x v="0"/>
    <x v="1"/>
    <s v="Stephen Rennell"/>
    <x v="13"/>
    <s v="Europe"/>
    <s v="Americas"/>
    <d v="2024-09-16T00:00:00"/>
    <m/>
    <s v="Guayna"/>
    <m/>
    <m/>
    <x v="8"/>
    <s v="FT"/>
    <n v="1"/>
    <x v="0"/>
  </r>
  <r>
    <n v="344"/>
    <s v="O'CONNOR"/>
    <s v="Kath"/>
    <x v="41"/>
    <s v="Test Analyst"/>
    <x v="0"/>
    <x v="4"/>
    <x v="2"/>
    <s v="Calli Bradford"/>
    <x v="2"/>
    <s v="Engineering"/>
    <m/>
    <m/>
    <m/>
    <m/>
    <m/>
    <m/>
    <x v="0"/>
    <s v="PT"/>
    <n v="0.8"/>
    <x v="0"/>
  </r>
  <r>
    <n v="348"/>
    <s v="FERNANDEZ"/>
    <s v="Gonzalo"/>
    <x v="42"/>
    <s v="Acting Development Manager "/>
    <x v="0"/>
    <x v="16"/>
    <x v="2"/>
    <s v="Brent Noble"/>
    <x v="2"/>
    <s v="Engineering"/>
    <m/>
    <m/>
    <m/>
    <m/>
    <m/>
    <m/>
    <x v="9"/>
    <s v="FT"/>
    <n v="1"/>
    <x v="0"/>
  </r>
  <r>
    <n v="352"/>
    <s v="BRADFORD"/>
    <s v="Calli"/>
    <x v="43"/>
    <s v="Test Manager, Engineering"/>
    <x v="0"/>
    <x v="16"/>
    <x v="2"/>
    <s v="Brent Noble"/>
    <x v="2"/>
    <s v="Engineering"/>
    <m/>
    <m/>
    <m/>
    <m/>
    <m/>
    <m/>
    <x v="10"/>
    <s v="PT"/>
    <n v="0.8"/>
    <x v="0"/>
  </r>
  <r>
    <n v="359"/>
    <s v="BIRD"/>
    <s v="Gary"/>
    <x v="44"/>
    <s v="Creative Lead"/>
    <x v="0"/>
    <x v="15"/>
    <x v="3"/>
    <s v="Eleanor Barnes"/>
    <x v="20"/>
    <s v="Sales"/>
    <m/>
    <m/>
    <m/>
    <m/>
    <m/>
    <s v="4 days a week, Wednesday off"/>
    <x v="0"/>
    <s v="PT"/>
    <n v="0.8"/>
    <x v="0"/>
  </r>
  <r>
    <n v="360"/>
    <s v="BARNES"/>
    <s v="Eleanor"/>
    <x v="45"/>
    <s v="Sales Operations Manager"/>
    <x v="0"/>
    <x v="15"/>
    <x v="3"/>
    <s v="Bill Chatwin"/>
    <x v="20"/>
    <s v="Sales"/>
    <m/>
    <m/>
    <m/>
    <m/>
    <m/>
    <m/>
    <x v="0"/>
    <s v="FT"/>
    <n v="1"/>
    <x v="0"/>
  </r>
  <r>
    <n v="361"/>
    <s v="GIBSON"/>
    <s v="Alyssa"/>
    <x v="46"/>
    <s v="Communications &amp; Engagment Specialist"/>
    <x v="0"/>
    <x v="17"/>
    <x v="6"/>
    <s v="Janet Macaskill"/>
    <x v="15"/>
    <s v="Finance + People"/>
    <m/>
    <m/>
    <m/>
    <m/>
    <m/>
    <m/>
    <x v="0"/>
    <s v="FT"/>
    <n v="1"/>
    <x v="0"/>
  </r>
  <r>
    <n v="362"/>
    <s v="SOOD"/>
    <s v="Tripti"/>
    <x v="47"/>
    <s v="Project Manager"/>
    <x v="0"/>
    <x v="18"/>
    <x v="4"/>
    <s v="Pollob Sharma"/>
    <x v="5"/>
    <s v="Asia Pacific"/>
    <m/>
    <m/>
    <m/>
    <m/>
    <m/>
    <s v="Contract ends 27/9/2024"/>
    <x v="11"/>
    <m/>
    <n v="1"/>
    <x v="1"/>
  </r>
  <r>
    <n v="367"/>
    <s v="BERROSTEGUIETA"/>
    <s v="Ignacio (Nacho)"/>
    <x v="47"/>
    <s v="Engineering Lead, Americas"/>
    <x v="1"/>
    <x v="19"/>
    <x v="1"/>
    <s v="Richard Morrison"/>
    <x v="5"/>
    <s v="Americas"/>
    <m/>
    <m/>
    <m/>
    <s v="Bahamas"/>
    <m/>
    <m/>
    <x v="12"/>
    <m/>
    <n v="1"/>
    <x v="0"/>
  </r>
  <r>
    <n v="457"/>
    <s v="EASTON"/>
    <s v="Teina"/>
    <x v="48"/>
    <s v="Senior Corporate Accountant"/>
    <x v="0"/>
    <x v="6"/>
    <x v="6"/>
    <s v="Emma Ung"/>
    <x v="5"/>
    <s v="Finance + People"/>
    <m/>
    <m/>
    <m/>
    <m/>
    <m/>
    <m/>
    <x v="13"/>
    <m/>
    <n v="1"/>
    <x v="0"/>
  </r>
  <r>
    <n v="434"/>
    <s v="KANIYAPPA"/>
    <s v="Suresh"/>
    <x v="49"/>
    <s v="Systems Administrator"/>
    <x v="0"/>
    <x v="12"/>
    <x v="2"/>
    <s v="Mark Fairmaid"/>
    <x v="17"/>
    <s v="Engineering"/>
    <m/>
    <m/>
    <m/>
    <m/>
    <m/>
    <m/>
    <x v="0"/>
    <s v="FT"/>
    <n v="1"/>
    <x v="0"/>
  </r>
  <r>
    <n v="395"/>
    <s v="CHEANG"/>
    <s v="Jeryl"/>
    <x v="50"/>
    <s v="Senior Developer"/>
    <x v="2"/>
    <x v="0"/>
    <x v="2"/>
    <s v="Brendon Tribe "/>
    <x v="2"/>
    <s v="Engineering"/>
    <m/>
    <m/>
    <m/>
    <m/>
    <m/>
    <m/>
    <x v="0"/>
    <s v="FT"/>
    <n v="1"/>
    <x v="0"/>
  </r>
  <r>
    <n v="398"/>
    <s v="GIBSON"/>
    <s v="Luke"/>
    <x v="51"/>
    <s v="Test Automation Engineer"/>
    <x v="0"/>
    <x v="4"/>
    <x v="2"/>
    <s v="Calli Bradford"/>
    <x v="2"/>
    <s v="Engineering"/>
    <m/>
    <m/>
    <m/>
    <m/>
    <m/>
    <m/>
    <x v="0"/>
    <s v="FT"/>
    <n v="1"/>
    <x v="0"/>
  </r>
  <r>
    <n v="405"/>
    <s v="MAZUR"/>
    <s v="Adrian"/>
    <x v="52"/>
    <s v="Senior Database Administrator"/>
    <x v="0"/>
    <x v="20"/>
    <x v="2"/>
    <s v="Mark Fairmaid"/>
    <x v="21"/>
    <s v="Engineering"/>
    <m/>
    <m/>
    <m/>
    <m/>
    <m/>
    <m/>
    <x v="0"/>
    <s v="PT"/>
    <n v="0.8"/>
    <x v="0"/>
  </r>
  <r>
    <n v="412"/>
    <s v="DHONUKSHE"/>
    <s v="Mahesh"/>
    <x v="53"/>
    <s v="Senior Developer"/>
    <x v="2"/>
    <x v="0"/>
    <x v="2"/>
    <s v="Brendon Tribe "/>
    <x v="2"/>
    <s v="Engineering"/>
    <m/>
    <m/>
    <m/>
    <m/>
    <m/>
    <s v="Remote from India"/>
    <x v="0"/>
    <s v="FT"/>
    <n v="1"/>
    <x v="0"/>
  </r>
  <r>
    <n v="414"/>
    <s v="CHERRY"/>
    <s v="Vincent"/>
    <x v="54"/>
    <s v="Developer"/>
    <x v="0"/>
    <x v="0"/>
    <x v="1"/>
    <s v="Stephen Rennell"/>
    <x v="22"/>
    <s v="Americas"/>
    <m/>
    <m/>
    <m/>
    <m/>
    <m/>
    <s v="Barbados Tech Lead"/>
    <x v="14"/>
    <s v="FT"/>
    <n v="1"/>
    <x v="0"/>
  </r>
  <r>
    <n v="420"/>
    <s v="ROBSON"/>
    <s v="Blair"/>
    <x v="54"/>
    <s v="Developer"/>
    <x v="0"/>
    <x v="0"/>
    <x v="1"/>
    <s v="Stephen Rennell"/>
    <x v="4"/>
    <s v="Americas"/>
    <m/>
    <m/>
    <m/>
    <m/>
    <m/>
    <m/>
    <x v="0"/>
    <s v="FT"/>
    <n v="1"/>
    <x v="0"/>
  </r>
  <r>
    <n v="419"/>
    <s v="NAVADIYA"/>
    <s v="Dhruvit"/>
    <x v="54"/>
    <s v="Developer"/>
    <x v="0"/>
    <x v="0"/>
    <x v="0"/>
    <s v="Blaire Alder"/>
    <x v="6"/>
    <s v="Europe"/>
    <m/>
    <m/>
    <m/>
    <m/>
    <m/>
    <m/>
    <x v="0"/>
    <s v="FT"/>
    <n v="1"/>
    <x v="0"/>
  </r>
  <r>
    <n v="418"/>
    <s v="BODLEY-DAVIES"/>
    <s v="Fynn"/>
    <x v="54"/>
    <s v="Developer"/>
    <x v="2"/>
    <x v="0"/>
    <x v="0"/>
    <s v="Tim Claridge"/>
    <x v="3"/>
    <s v="Europe"/>
    <m/>
    <m/>
    <m/>
    <m/>
    <m/>
    <s v="Extended to 31 March"/>
    <x v="15"/>
    <s v="FT"/>
    <n v="1"/>
    <x v="0"/>
  </r>
  <r>
    <n v="421"/>
    <s v="ROZA"/>
    <s v="Mohamed"/>
    <x v="55"/>
    <s v="Senior Developer"/>
    <x v="0"/>
    <x v="16"/>
    <x v="2"/>
    <s v="Brendon Tribe "/>
    <x v="2"/>
    <s v="Engineering"/>
    <m/>
    <m/>
    <m/>
    <m/>
    <m/>
    <m/>
    <x v="16"/>
    <s v="FT"/>
    <n v="1"/>
    <x v="0"/>
  </r>
  <r>
    <n v="484"/>
    <s v="FLANNERY"/>
    <s v="Siobhan"/>
    <x v="56"/>
    <s v="Senior Project Coordinator"/>
    <x v="0"/>
    <x v="2"/>
    <x v="2"/>
    <s v="Jack Mitchell"/>
    <x v="2"/>
    <s v="Engineering"/>
    <m/>
    <m/>
    <m/>
    <m/>
    <m/>
    <s v="Contracted FT but large amounts of time as LWOP whilst returning to work "/>
    <x v="0"/>
    <s v="PT"/>
    <n v="0.8"/>
    <x v="0"/>
  </r>
  <r>
    <n v="485"/>
    <s v="BRANTLEY"/>
    <s v="Logan"/>
    <x v="56"/>
    <s v="Technical Lead"/>
    <x v="0"/>
    <x v="0"/>
    <x v="1"/>
    <s v="Stephen Rennell"/>
    <x v="22"/>
    <s v="Asia Pacific"/>
    <s v="Americas"/>
    <d v="2024-06-24T00:00:00"/>
    <s v="Bahamas P1 Go-Live"/>
    <s v="Belize &amp; Bahamas"/>
    <m/>
    <s v="Bahamas Tech Lead; EST 50/50 Bahamas &amp; Belize"/>
    <x v="0"/>
    <s v="FT"/>
    <n v="1"/>
    <x v="0"/>
  </r>
  <r>
    <n v="426"/>
    <s v="KRINKEL"/>
    <s v="Joe"/>
    <x v="57"/>
    <s v="Test Manager, Americas"/>
    <x v="3"/>
    <x v="4"/>
    <x v="1"/>
    <s v="Richard Morrison"/>
    <x v="4"/>
    <s v="Americas"/>
    <m/>
    <m/>
    <m/>
    <m/>
    <m/>
    <m/>
    <x v="0"/>
    <s v="FT"/>
    <n v="1"/>
    <x v="0"/>
  </r>
  <r>
    <n v="428"/>
    <s v="LI"/>
    <s v="Rochelle"/>
    <x v="57"/>
    <s v="Test Analyst"/>
    <x v="0"/>
    <x v="4"/>
    <x v="1"/>
    <s v="Joe Krinkel"/>
    <x v="4"/>
    <s v="Americas"/>
    <m/>
    <m/>
    <m/>
    <s v="Belize"/>
    <m/>
    <m/>
    <x v="0"/>
    <s v="FT"/>
    <n v="1"/>
    <x v="0"/>
  </r>
  <r>
    <n v="439"/>
    <s v="TAPA"/>
    <s v="Ellie"/>
    <x v="58"/>
    <s v="Implementation Consultant "/>
    <x v="0"/>
    <x v="9"/>
    <x v="1"/>
    <s v="Richard Morrison"/>
    <x v="4"/>
    <s v="Asia Pacific"/>
    <s v="Americas"/>
    <d v="2024-07-07T00:00:00"/>
    <s v="Solomons P1 Go-Live"/>
    <s v="Belize"/>
    <m/>
    <m/>
    <x v="0"/>
    <s v="FT"/>
    <n v="1"/>
    <x v="0"/>
  </r>
  <r>
    <n v="396"/>
    <s v="HA"/>
    <s v="Tobias"/>
    <x v="59"/>
    <s v="Senior Developer"/>
    <x v="0"/>
    <x v="16"/>
    <x v="2"/>
    <s v="Gonzalo Fernandez"/>
    <x v="7"/>
    <s v="Engineering"/>
    <m/>
    <m/>
    <m/>
    <m/>
    <m/>
    <m/>
    <x v="17"/>
    <s v="FT"/>
    <n v="1"/>
    <x v="0"/>
  </r>
  <r>
    <n v="447"/>
    <s v="Jalboot"/>
    <s v="Abdalmunaem"/>
    <x v="60"/>
    <s v="Technical Consultant"/>
    <x v="2"/>
    <x v="11"/>
    <x v="8"/>
    <s v="Tom Sanderson"/>
    <x v="16"/>
    <m/>
    <m/>
    <m/>
    <m/>
    <m/>
    <m/>
    <m/>
    <x v="0"/>
    <s v="PT"/>
    <n v="0.5"/>
    <x v="0"/>
  </r>
  <r>
    <n v="390"/>
    <s v="STEEVENS"/>
    <s v="Nickolas"/>
    <x v="61"/>
    <s v="Vice President Finance and Shared Services"/>
    <x v="0"/>
    <x v="1"/>
    <x v="6"/>
    <s v="Vernon Kay"/>
    <x v="1"/>
    <s v="ELT"/>
    <m/>
    <m/>
    <m/>
    <m/>
    <m/>
    <m/>
    <x v="0"/>
    <s v="FT"/>
    <n v="1"/>
    <x v="0"/>
  </r>
  <r>
    <n v="441"/>
    <s v="DE JONK"/>
    <s v="Arunika"/>
    <x v="62"/>
    <s v="Technical Lead"/>
    <x v="0"/>
    <x v="0"/>
    <x v="0"/>
    <s v="Tim Claridge"/>
    <x v="11"/>
    <s v="Europe"/>
    <m/>
    <m/>
    <m/>
    <m/>
    <m/>
    <s v="Move to Cyprus 12 Aug"/>
    <x v="0"/>
    <s v="FT"/>
    <n v="1"/>
    <x v="0"/>
  </r>
  <r>
    <n v="453"/>
    <s v="MARTIN LOPE"/>
    <s v="Tatiana"/>
    <x v="63"/>
    <s v="Business Development Manager"/>
    <x v="0"/>
    <x v="15"/>
    <x v="3"/>
    <s v="Eleanor Barnes"/>
    <x v="23"/>
    <s v="Sales"/>
    <m/>
    <d v="2024-07-22T00:00:00"/>
    <m/>
    <m/>
    <m/>
    <m/>
    <x v="0"/>
    <s v="FT"/>
    <n v="1"/>
    <x v="0"/>
  </r>
  <r>
    <n v="450"/>
    <s v="PHEE"/>
    <s v="Sulin"/>
    <x v="64"/>
    <s v="Business Analyst, Europe"/>
    <x v="0"/>
    <x v="9"/>
    <x v="0"/>
    <s v="Julian Virtue"/>
    <x v="6"/>
    <s v="Europe"/>
    <m/>
    <m/>
    <m/>
    <m/>
    <m/>
    <m/>
    <x v="18"/>
    <s v="FT"/>
    <n v="1"/>
    <x v="0"/>
  </r>
  <r>
    <n v="397"/>
    <s v="EVANS"/>
    <s v="Michelle"/>
    <x v="65"/>
    <s v="Business Coordinator / Leadership Support"/>
    <x v="0"/>
    <x v="17"/>
    <x v="6"/>
    <s v="Janet Macaskill"/>
    <x v="15"/>
    <s v="Finance + People"/>
    <m/>
    <m/>
    <m/>
    <m/>
    <m/>
    <m/>
    <x v="0"/>
    <s v="FT"/>
    <n v="1"/>
    <x v="0"/>
  </r>
  <r>
    <n v="411"/>
    <s v="STIMSON"/>
    <s v="Rowan"/>
    <x v="66"/>
    <s v="Technical Lead"/>
    <x v="0"/>
    <x v="0"/>
    <x v="0"/>
    <s v="Blaire Alder"/>
    <x v="6"/>
    <s v="Europe"/>
    <m/>
    <m/>
    <m/>
    <m/>
    <m/>
    <m/>
    <x v="0"/>
    <s v="FT"/>
    <n v="1"/>
    <x v="0"/>
  </r>
  <r>
    <n v="384"/>
    <s v="SU"/>
    <s v="Liang (Leo)"/>
    <x v="67"/>
    <s v="Technical Lead"/>
    <x v="0"/>
    <x v="0"/>
    <x v="0"/>
    <s v="Blaire Alder"/>
    <x v="6"/>
    <s v="Europe"/>
    <m/>
    <m/>
    <m/>
    <m/>
    <m/>
    <m/>
    <x v="0"/>
    <s v="FT"/>
    <n v="1"/>
    <x v="0"/>
  </r>
  <r>
    <n v="463"/>
    <s v="DU TOIT"/>
    <s v="Michael"/>
    <x v="68"/>
    <s v="Senior Developer"/>
    <x v="0"/>
    <x v="0"/>
    <x v="0"/>
    <s v="Tim Claridge"/>
    <x v="3"/>
    <s v="Europe"/>
    <m/>
    <m/>
    <m/>
    <m/>
    <m/>
    <m/>
    <x v="0"/>
    <s v="FT"/>
    <n v="1"/>
    <x v="0"/>
  </r>
  <r>
    <n v="464"/>
    <s v="SMITH"/>
    <s v="Joe"/>
    <x v="68"/>
    <s v="Developer"/>
    <x v="2"/>
    <x v="0"/>
    <x v="1"/>
    <s v="Stephen Rennell"/>
    <x v="4"/>
    <s v="Americas"/>
    <m/>
    <m/>
    <m/>
    <m/>
    <m/>
    <s v="Remote from Canada from 29/7/24 for up to 2 years"/>
    <x v="0"/>
    <s v="FT"/>
    <n v="1"/>
    <x v="0"/>
  </r>
  <r>
    <n v="462"/>
    <s v="NEVILLE"/>
    <s v="Daniel"/>
    <x v="68"/>
    <s v="Junior Developer"/>
    <x v="0"/>
    <x v="21"/>
    <x v="0"/>
    <s v="Blaire Alder"/>
    <x v="5"/>
    <s v="Europe"/>
    <m/>
    <m/>
    <s v="Cyprus"/>
    <m/>
    <m/>
    <m/>
    <x v="19"/>
    <m/>
    <n v="1"/>
    <x v="0"/>
  </r>
  <r>
    <n v="465"/>
    <s v="HAWKES"/>
    <s v="Daniel"/>
    <x v="68"/>
    <s v="Developer"/>
    <x v="3"/>
    <x v="0"/>
    <x v="0"/>
    <s v="Tim Claridge"/>
    <x v="3"/>
    <s v="Europe"/>
    <m/>
    <m/>
    <m/>
    <m/>
    <m/>
    <m/>
    <x v="0"/>
    <s v="FT"/>
    <n v="1"/>
    <x v="0"/>
  </r>
  <r>
    <n v="460"/>
    <s v="EJETA"/>
    <s v="Gelan"/>
    <x v="68"/>
    <s v="Test Analyst"/>
    <x v="0"/>
    <x v="4"/>
    <x v="0"/>
    <s v="Chris Morton"/>
    <x v="6"/>
    <s v="Europe"/>
    <m/>
    <m/>
    <m/>
    <m/>
    <m/>
    <m/>
    <x v="0"/>
    <s v="FT"/>
    <n v="1"/>
    <x v="0"/>
  </r>
  <r>
    <n v="482"/>
    <s v="NICOL"/>
    <s v="Craig"/>
    <x v="69"/>
    <s v="Senior Test Analyst"/>
    <x v="0"/>
    <x v="4"/>
    <x v="2"/>
    <s v="Calli Bradford"/>
    <x v="2"/>
    <s v="Engineering"/>
    <m/>
    <m/>
    <m/>
    <m/>
    <m/>
    <s v="Secondment for Test Manager while Cali on Mat Leave"/>
    <x v="0"/>
    <s v="FT"/>
    <n v="1"/>
    <x v="0"/>
  </r>
  <r>
    <n v="404"/>
    <s v="ARULDASAN"/>
    <s v="Mirendra"/>
    <x v="70"/>
    <s v="Senior Developer"/>
    <x v="3"/>
    <x v="0"/>
    <x v="0"/>
    <s v="Blaire Alder"/>
    <x v="6"/>
    <s v="Europe"/>
    <m/>
    <m/>
    <m/>
    <m/>
    <m/>
    <s v="Cyprus Tech Lead"/>
    <x v="0"/>
    <s v="FT"/>
    <n v="1"/>
    <x v="0"/>
  </r>
  <r>
    <n v="487"/>
    <s v="MITCHELL"/>
    <s v="Jack"/>
    <x v="71"/>
    <s v="Product Delivery Manager"/>
    <x v="0"/>
    <x v="2"/>
    <x v="2"/>
    <s v="Brent Noble"/>
    <x v="2"/>
    <s v="Engineering"/>
    <m/>
    <m/>
    <m/>
    <m/>
    <m/>
    <m/>
    <x v="0"/>
    <s v="FT"/>
    <n v="1"/>
    <x v="0"/>
  </r>
  <r>
    <n v="473"/>
    <s v="SERAPIO"/>
    <s v="Shelah"/>
    <x v="72"/>
    <s v="Senior Test Analyst"/>
    <x v="3"/>
    <x v="4"/>
    <x v="0"/>
    <s v="Tim Claridge"/>
    <x v="3"/>
    <s v="Europe"/>
    <m/>
    <m/>
    <m/>
    <m/>
    <m/>
    <m/>
    <x v="0"/>
    <s v="FT"/>
    <n v="1"/>
    <x v="0"/>
  </r>
  <r>
    <n v="548"/>
    <s v="DU"/>
    <s v="Bang"/>
    <x v="73"/>
    <s v="Senior Project Manager"/>
    <x v="0"/>
    <x v="18"/>
    <x v="0"/>
    <s v="Julian Virtue"/>
    <x v="6"/>
    <s v="Europe"/>
    <m/>
    <m/>
    <m/>
    <m/>
    <m/>
    <s v="Last day 22nd Nov "/>
    <x v="20"/>
    <s v="FT"/>
    <n v="1"/>
    <x v="0"/>
  </r>
  <r>
    <n v="497"/>
    <s v="BREMNER"/>
    <s v="Stephanie"/>
    <x v="74"/>
    <s v="Practice Lead - Test"/>
    <x v="3"/>
    <x v="4"/>
    <x v="4"/>
    <s v="Pollob Sharma"/>
    <x v="18"/>
    <s v="Asia Pacific"/>
    <m/>
    <m/>
    <m/>
    <m/>
    <m/>
    <m/>
    <x v="0"/>
    <s v="FT"/>
    <n v="1"/>
    <x v="0"/>
  </r>
  <r>
    <n v="500"/>
    <s v="SMITH"/>
    <s v="Jayd"/>
    <x v="75"/>
    <s v="Head of Training"/>
    <x v="0"/>
    <x v="22"/>
    <x v="2"/>
    <s v="Mark Morgan"/>
    <x v="24"/>
    <s v="Engineering"/>
    <m/>
    <m/>
    <m/>
    <m/>
    <m/>
    <m/>
    <x v="0"/>
    <s v="FT"/>
    <n v="1"/>
    <x v="0"/>
  </r>
  <r>
    <n v="506"/>
    <s v="BELL"/>
    <s v="Nicholas"/>
    <x v="76"/>
    <s v="Client Engagement Manager"/>
    <x v="0"/>
    <x v="2"/>
    <x v="0"/>
    <s v="Joe Ede"/>
    <x v="3"/>
    <s v="Europe"/>
    <m/>
    <m/>
    <m/>
    <m/>
    <m/>
    <m/>
    <x v="0"/>
    <s v="FT"/>
    <n v="1"/>
    <x v="0"/>
  </r>
  <r>
    <n v="509"/>
    <s v="DICKSON"/>
    <s v="Russell"/>
    <x v="77"/>
    <s v="Head of Implementation Support"/>
    <x v="0"/>
    <x v="2"/>
    <x v="2"/>
    <s v="Mark Morgan"/>
    <x v="25"/>
    <s v="Engineering"/>
    <m/>
    <m/>
    <m/>
    <m/>
    <m/>
    <m/>
    <x v="0"/>
    <s v="FT"/>
    <n v="1"/>
    <x v="0"/>
  </r>
  <r>
    <n v="513"/>
    <s v="BRANTLEY"/>
    <s v="Sofia"/>
    <x v="78"/>
    <s v="Delivery Lead"/>
    <x v="0"/>
    <x v="2"/>
    <x v="1"/>
    <s v="Richard Morrison"/>
    <x v="13"/>
    <s v="Americas"/>
    <s v="TBC - full time in one region"/>
    <d v="2024-11-20T00:00:00"/>
    <s v="By end of 2024"/>
    <s v="Service Delivery"/>
    <m/>
    <s v="Nee Sofia Bergman"/>
    <x v="0"/>
    <s v="FT"/>
    <n v="1"/>
    <x v="0"/>
  </r>
  <r>
    <n v="515"/>
    <s v="ZHOU"/>
    <s v="Kelly"/>
    <x v="79"/>
    <s v="Product Owner, Engineering"/>
    <x v="0"/>
    <x v="0"/>
    <x v="2"/>
    <s v="Brent Noble"/>
    <x v="7"/>
    <s v="Engineering"/>
    <m/>
    <m/>
    <m/>
    <m/>
    <m/>
    <m/>
    <x v="0"/>
    <s v="FT"/>
    <n v="1"/>
    <x v="0"/>
  </r>
  <r>
    <n v="518"/>
    <s v="Olsson"/>
    <s v="Andreas"/>
    <x v="80"/>
    <s v="Technical Consultant"/>
    <x v="2"/>
    <x v="11"/>
    <x v="8"/>
    <s v="Tom Sanderson"/>
    <x v="16"/>
    <m/>
    <m/>
    <m/>
    <m/>
    <m/>
    <m/>
    <m/>
    <x v="0"/>
    <s v="PT"/>
    <n v="0.5"/>
    <x v="0"/>
  </r>
  <r>
    <n v="516"/>
    <s v="MUNT"/>
    <s v="Tony"/>
    <x v="81"/>
    <s v="Senior Tax Reform Consultant"/>
    <x v="0"/>
    <x v="8"/>
    <x v="4"/>
    <s v="Pollob Sharma"/>
    <x v="18"/>
    <s v="Asia Pacific"/>
    <m/>
    <m/>
    <m/>
    <m/>
    <m/>
    <s v="Last day in office 20/12/24"/>
    <x v="21"/>
    <s v="FT"/>
    <n v="1"/>
    <x v="0"/>
  </r>
  <r>
    <n v="526"/>
    <s v="KIOURTI"/>
    <s v="Maria"/>
    <x v="82"/>
    <s v="Technical Writer &amp; Translator"/>
    <x v="4"/>
    <x v="23"/>
    <x v="0"/>
    <s v="Pavlos Papapavlou"/>
    <x v="6"/>
    <s v="Europe"/>
    <m/>
    <m/>
    <m/>
    <m/>
    <m/>
    <m/>
    <x v="0"/>
    <s v="FT"/>
    <n v="1"/>
    <x v="0"/>
  </r>
  <r>
    <n v="532"/>
    <s v="BROOKIE"/>
    <s v="Michael"/>
    <x v="83"/>
    <s v="Test Analyst"/>
    <x v="0"/>
    <x v="4"/>
    <x v="1"/>
    <s v="Joe Krinkel"/>
    <x v="22"/>
    <s v="Americas"/>
    <m/>
    <m/>
    <m/>
    <m/>
    <m/>
    <m/>
    <x v="0"/>
    <s v="FT"/>
    <n v="1"/>
    <x v="0"/>
  </r>
  <r>
    <n v="534"/>
    <s v="PAKI"/>
    <s v="Kaine"/>
    <x v="84"/>
    <s v="Developer"/>
    <x v="0"/>
    <x v="0"/>
    <x v="1"/>
    <s v="Stephen Rennell"/>
    <x v="13"/>
    <s v="Americas"/>
    <m/>
    <m/>
    <m/>
    <s v="Guyana"/>
    <m/>
    <m/>
    <x v="5"/>
    <s v="FT"/>
    <n v="1"/>
    <x v="0"/>
  </r>
  <r>
    <n v="535"/>
    <s v="UNG"/>
    <s v="Emma"/>
    <x v="85"/>
    <s v="Finance Manager"/>
    <x v="0"/>
    <x v="6"/>
    <x v="6"/>
    <s v="Nick Steevens"/>
    <x v="5"/>
    <s v="Finance + People"/>
    <m/>
    <m/>
    <s v="Finance"/>
    <m/>
    <m/>
    <m/>
    <x v="22"/>
    <m/>
    <n v="1"/>
    <x v="0"/>
  </r>
  <r>
    <n v="542"/>
    <s v="LEE"/>
    <s v="Christian"/>
    <x v="86"/>
    <s v="Developer"/>
    <x v="0"/>
    <x v="0"/>
    <x v="0"/>
    <s v="Blaire Alder"/>
    <x v="6"/>
    <s v="Europe"/>
    <m/>
    <m/>
    <m/>
    <m/>
    <m/>
    <m/>
    <x v="0"/>
    <s v="FT"/>
    <n v="1"/>
    <x v="0"/>
  </r>
  <r>
    <n v="543"/>
    <s v="LYSSIOTIS"/>
    <s v="Christos"/>
    <x v="86"/>
    <s v="Programme Manager - Europe"/>
    <x v="4"/>
    <x v="18"/>
    <x v="0"/>
    <s v="Shona Williams"/>
    <x v="5"/>
    <s v="Europe"/>
    <m/>
    <m/>
    <m/>
    <m/>
    <m/>
    <m/>
    <x v="2"/>
    <m/>
    <n v="1"/>
    <x v="0"/>
  </r>
  <r>
    <n v="546"/>
    <s v="PAUL"/>
    <s v="Danielle"/>
    <x v="87"/>
    <s v="Delivery Lead"/>
    <x v="0"/>
    <x v="2"/>
    <x v="0"/>
    <s v="Julian Virtue"/>
    <x v="6"/>
    <s v="Europe"/>
    <m/>
    <m/>
    <m/>
    <m/>
    <m/>
    <m/>
    <x v="0"/>
    <s v="FT"/>
    <n v="1"/>
    <x v="0"/>
  </r>
  <r>
    <n v="523"/>
    <s v="DE WET"/>
    <s v="Christiaan"/>
    <x v="87"/>
    <s v="Senior Developer "/>
    <x v="0"/>
    <x v="0"/>
    <x v="1"/>
    <s v="Stephen Rennell"/>
    <x v="4"/>
    <s v="Americas"/>
    <m/>
    <m/>
    <m/>
    <m/>
    <m/>
    <s v="Belize Tech Lead"/>
    <x v="0"/>
    <s v="FT"/>
    <n v="1"/>
    <x v="0"/>
  </r>
  <r>
    <n v="545"/>
    <s v="WALKER"/>
    <s v="Jill"/>
    <x v="87"/>
    <s v="Senior Project Manager"/>
    <x v="0"/>
    <x v="18"/>
    <x v="0"/>
    <s v="Joe Ede"/>
    <x v="11"/>
    <s v="Europe"/>
    <m/>
    <m/>
    <m/>
    <m/>
    <m/>
    <m/>
    <x v="23"/>
    <s v="FT"/>
    <n v="1"/>
    <x v="0"/>
  </r>
  <r>
    <n v="549"/>
    <s v="MORRISON"/>
    <s v="Richard"/>
    <x v="88"/>
    <s v="Head of Implementation Americas"/>
    <x v="0"/>
    <x v="1"/>
    <x v="1"/>
    <s v="Pollob Sharma"/>
    <x v="23"/>
    <s v="Americas"/>
    <m/>
    <m/>
    <m/>
    <m/>
    <m/>
    <m/>
    <x v="0"/>
    <s v="FT"/>
    <n v="1"/>
    <x v="0"/>
  </r>
  <r>
    <n v="550"/>
    <s v="PAPAPAVLOU"/>
    <s v="Pavlos"/>
    <x v="88"/>
    <s v="Senior Business Analyst, Europe"/>
    <x v="4"/>
    <x v="9"/>
    <x v="0"/>
    <s v="Julian Virtue"/>
    <x v="6"/>
    <s v="Europe"/>
    <m/>
    <m/>
    <m/>
    <m/>
    <m/>
    <m/>
    <x v="0"/>
    <s v="FT"/>
    <n v="1"/>
    <x v="0"/>
  </r>
  <r>
    <n v="552"/>
    <s v="THANDAVAN"/>
    <s v="Sundaresan"/>
    <x v="89"/>
    <s v="Senior DevOps Engineer"/>
    <x v="0"/>
    <x v="0"/>
    <x v="2"/>
    <s v="Andrew Sumner"/>
    <x v="26"/>
    <s v="Engineering"/>
    <m/>
    <m/>
    <m/>
    <m/>
    <m/>
    <m/>
    <x v="0"/>
    <s v="FT"/>
    <n v="1"/>
    <x v="0"/>
  </r>
  <r>
    <n v="553"/>
    <s v="WHITMORE"/>
    <s v="Christopher"/>
    <x v="90"/>
    <s v="Senior Developer"/>
    <x v="0"/>
    <x v="0"/>
    <x v="2"/>
    <s v="Brendon Tribe "/>
    <x v="2"/>
    <s v="Engineering"/>
    <m/>
    <m/>
    <m/>
    <m/>
    <m/>
    <s v="9-day fortnight from the beginning of 2026"/>
    <x v="0"/>
    <s v="FT"/>
    <n v="1"/>
    <x v="0"/>
  </r>
  <r>
    <n v="566"/>
    <s v="VITHAL"/>
    <s v="Cheyenne"/>
    <x v="91"/>
    <s v="Test Analyst"/>
    <x v="0"/>
    <x v="4"/>
    <x v="0"/>
    <s v="Chris Morton"/>
    <x v="6"/>
    <s v="Europe"/>
    <m/>
    <m/>
    <m/>
    <m/>
    <m/>
    <m/>
    <x v="0"/>
    <s v="FT"/>
    <n v="1"/>
    <x v="0"/>
  </r>
  <r>
    <n v="559"/>
    <s v="MESTVIRISHVILI"/>
    <s v="Vakhtangi"/>
    <x v="91"/>
    <s v="DevOps Engineer"/>
    <x v="0"/>
    <x v="0"/>
    <x v="2"/>
    <s v="Andrew Sumner"/>
    <x v="26"/>
    <s v="Engineering"/>
    <m/>
    <m/>
    <m/>
    <m/>
    <m/>
    <m/>
    <x v="0"/>
    <s v="FT"/>
    <n v="1"/>
    <x v="0"/>
  </r>
  <r>
    <n v="565"/>
    <s v="SACHDEVA"/>
    <s v="Prateek"/>
    <x v="91"/>
    <s v="Test Analyst"/>
    <x v="0"/>
    <x v="4"/>
    <x v="1"/>
    <s v="Joe Krinkel"/>
    <x v="27"/>
    <s v="Asia Pacific"/>
    <s v="Americas"/>
    <d v="2024-06-24T00:00:00"/>
    <s v="Bahamas P1 Go-Live"/>
    <s v="Belize"/>
    <m/>
    <s v="part time remote, 3 months in India July 25"/>
    <x v="0"/>
    <s v="FT"/>
    <n v="1"/>
    <x v="0"/>
  </r>
  <r>
    <n v="556"/>
    <s v="HANRAHAN"/>
    <s v="Justin"/>
    <x v="91"/>
    <s v="Developer"/>
    <x v="0"/>
    <x v="0"/>
    <x v="0"/>
    <s v="Blaire Alder"/>
    <x v="6"/>
    <s v="Europe"/>
    <m/>
    <m/>
    <m/>
    <m/>
    <m/>
    <m/>
    <x v="0"/>
    <s v="FT"/>
    <n v="1"/>
    <x v="0"/>
  </r>
  <r>
    <n v="568"/>
    <s v="EASTLAKE"/>
    <s v="Alex"/>
    <x v="91"/>
    <s v="Test Automation Engineer"/>
    <x v="0"/>
    <x v="4"/>
    <x v="2"/>
    <s v="Andrew Sumner"/>
    <x v="26"/>
    <s v="Engineering"/>
    <m/>
    <m/>
    <m/>
    <m/>
    <m/>
    <m/>
    <x v="0"/>
    <s v="FT"/>
    <n v="1"/>
    <x v="0"/>
  </r>
  <r>
    <n v="560"/>
    <s v="CARTER"/>
    <s v="Samuel"/>
    <x v="91"/>
    <s v="Junior Developer"/>
    <x v="0"/>
    <x v="21"/>
    <x v="0"/>
    <s v="Tim Claridge"/>
    <x v="5"/>
    <s v="Europe"/>
    <m/>
    <m/>
    <s v="IOM"/>
    <m/>
    <m/>
    <s v="Resigned 6/6/2024"/>
    <x v="24"/>
    <m/>
    <n v="1"/>
    <x v="0"/>
  </r>
  <r>
    <n v="563"/>
    <s v="DEY"/>
    <s v="Rajib"/>
    <x v="91"/>
    <s v="Developer"/>
    <x v="0"/>
    <x v="0"/>
    <x v="0"/>
    <s v="Blaire Alder"/>
    <x v="6"/>
    <s v="Europe"/>
    <m/>
    <m/>
    <m/>
    <m/>
    <m/>
    <m/>
    <x v="25"/>
    <s v="FT"/>
    <n v="1"/>
    <x v="0"/>
  </r>
  <r>
    <n v="572"/>
    <s v="PANDA"/>
    <s v="Swapna"/>
    <x v="92"/>
    <s v="Senior Test Analyst"/>
    <x v="0"/>
    <x v="4"/>
    <x v="4"/>
    <s v="Stephanie Bremner"/>
    <x v="18"/>
    <s v="Asia Pacific"/>
    <m/>
    <m/>
    <m/>
    <m/>
    <m/>
    <m/>
    <x v="14"/>
    <s v="FT"/>
    <n v="1"/>
    <x v="0"/>
  </r>
  <r>
    <n v="573"/>
    <s v="EDE"/>
    <s v="Joe"/>
    <x v="93"/>
    <s v="Delivery Director Isles and Client Services"/>
    <x v="0"/>
    <x v="2"/>
    <x v="0"/>
    <s v="Vernon Kay"/>
    <x v="3"/>
    <s v="Europe"/>
    <m/>
    <m/>
    <m/>
    <m/>
    <m/>
    <m/>
    <x v="0"/>
    <s v="FT"/>
    <n v="1"/>
    <x v="0"/>
  </r>
  <r>
    <n v="592"/>
    <s v="MOHAMED"/>
    <s v="Tarek"/>
    <x v="94"/>
    <s v="Senior Developer "/>
    <x v="0"/>
    <x v="0"/>
    <x v="0"/>
    <s v="Tim Claridge"/>
    <x v="11"/>
    <s v="Europe"/>
    <m/>
    <m/>
    <m/>
    <m/>
    <m/>
    <s v="Move to Cyprus 12 Aug"/>
    <x v="0"/>
    <s v="FT"/>
    <n v="1"/>
    <x v="0"/>
  </r>
  <r>
    <n v="580"/>
    <s v="NORMAN"/>
    <s v="Liv"/>
    <x v="95"/>
    <s v="Head of Client, Americas"/>
    <x v="0"/>
    <x v="1"/>
    <x v="1"/>
    <m/>
    <x v="22"/>
    <s v="Americas"/>
    <m/>
    <m/>
    <m/>
    <m/>
    <m/>
    <m/>
    <x v="9"/>
    <s v="FT"/>
    <n v="1"/>
    <x v="0"/>
  </r>
  <r>
    <n v="583"/>
    <s v="DE SILVA"/>
    <s v="Shalin"/>
    <x v="96"/>
    <s v="Senior Developer"/>
    <x v="0"/>
    <x v="0"/>
    <x v="4"/>
    <s v="Niraj Nagtilak"/>
    <x v="14"/>
    <s v="Asia Pacific"/>
    <m/>
    <m/>
    <m/>
    <m/>
    <m/>
    <m/>
    <x v="0"/>
    <s v="FT"/>
    <n v="1"/>
    <x v="0"/>
  </r>
  <r>
    <n v="585"/>
    <s v="UREÑA"/>
    <s v="David"/>
    <x v="97"/>
    <s v="Senior Test Analyst"/>
    <x v="1"/>
    <x v="4"/>
    <x v="1"/>
    <s v="Joe Krinkel"/>
    <x v="13"/>
    <s v="Asia Pacific"/>
    <s v="Americas"/>
    <d v="2024-08-12T00:00:00"/>
    <s v="Solomons P2 Go-Live"/>
    <s v="Belize"/>
    <m/>
    <m/>
    <x v="0"/>
    <s v="FT"/>
    <n v="1"/>
    <x v="0"/>
  </r>
  <r>
    <n v="587"/>
    <s v="GARCÍA"/>
    <s v="José"/>
    <x v="97"/>
    <s v="Senior Developer"/>
    <x v="1"/>
    <x v="0"/>
    <x v="1"/>
    <s v="Minor Álvarez-Gómez"/>
    <x v="13"/>
    <s v="Asia Pacific"/>
    <s v="Americas"/>
    <d v="2024-08-12T00:00:00"/>
    <s v="Solomons P2 Go-Live"/>
    <s v="Belize"/>
    <m/>
    <m/>
    <x v="0"/>
    <s v="FT"/>
    <n v="1"/>
    <x v="0"/>
  </r>
  <r>
    <n v="589"/>
    <s v="CHING VARGAS"/>
    <s v="Shu"/>
    <x v="97"/>
    <s v="Developer"/>
    <x v="1"/>
    <x v="0"/>
    <x v="1"/>
    <s v="Minor Álvarez-Gómez"/>
    <x v="13"/>
    <s v="Asia Pacific"/>
    <s v="Americas"/>
    <d v="2024-06-24T00:00:00"/>
    <s v="Solomons P2 Go-Live"/>
    <s v="Bahamas"/>
    <m/>
    <m/>
    <x v="0"/>
    <s v="FT"/>
    <n v="1"/>
    <x v="0"/>
  </r>
  <r>
    <n v="590"/>
    <s v="CASANOVA"/>
    <s v="Hector"/>
    <x v="97"/>
    <s v="Senior Developer"/>
    <x v="1"/>
    <x v="0"/>
    <x v="1"/>
    <s v="Minor Álvarez-Gómez"/>
    <x v="13"/>
    <s v="Asia Pacific"/>
    <s v="Americas"/>
    <d v="2024-11-01T00:00:00"/>
    <s v="Solomons P2 Go-Live"/>
    <s v="Belize"/>
    <d v="2024-11-01T00:00:00"/>
    <m/>
    <x v="0"/>
    <s v="FT"/>
    <n v="1"/>
    <x v="0"/>
  </r>
  <r>
    <n v="591"/>
    <s v="ÁLVAREZ GÓMEZ"/>
    <s v="Minor"/>
    <x v="97"/>
    <s v="Developer"/>
    <x v="1"/>
    <x v="0"/>
    <x v="1"/>
    <s v="Minor Álvarez-Gómez"/>
    <x v="13"/>
    <s v="Asia Pacific"/>
    <s v="Americas"/>
    <d v="2024-08-12T00:00:00"/>
    <s v="Solomons P2 Go-Live"/>
    <s v="Belize"/>
    <m/>
    <m/>
    <x v="0"/>
    <s v="FT"/>
    <n v="1"/>
    <x v="0"/>
  </r>
  <r>
    <n v="636"/>
    <s v="KEANE"/>
    <s v="Hayley"/>
    <x v="98"/>
    <s v="Data Engineer"/>
    <x v="0"/>
    <x v="5"/>
    <x v="7"/>
    <s v="Evan Wilson"/>
    <x v="12"/>
    <s v="Finance + People"/>
    <m/>
    <m/>
    <m/>
    <m/>
    <m/>
    <s v="Secondment until 5 Jan 2026"/>
    <x v="0"/>
    <s v="FT"/>
    <n v="1"/>
    <x v="0"/>
  </r>
  <r>
    <n v="661"/>
    <s v="McPherson"/>
    <s v="Laura"/>
    <x v="99"/>
    <s v="Planning Advisor"/>
    <x v="0"/>
    <x v="5"/>
    <x v="6"/>
    <s v="Rebecca Proffitt"/>
    <x v="8"/>
    <s v="Finance + People"/>
    <m/>
    <m/>
    <m/>
    <m/>
    <m/>
    <m/>
    <x v="0"/>
    <s v="FT"/>
    <n v="1"/>
    <x v="0"/>
  </r>
  <r>
    <n v="663"/>
    <s v="GRIFFIN"/>
    <s v="Noel"/>
    <x v="99"/>
    <s v="Delivery Lead"/>
    <x v="0"/>
    <x v="18"/>
    <x v="0"/>
    <s v="Joe Ede"/>
    <x v="5"/>
    <s v="Europe"/>
    <m/>
    <m/>
    <s v="Cyprus"/>
    <m/>
    <m/>
    <s v="Last day 9 Aug"/>
    <x v="26"/>
    <m/>
    <n v="1"/>
    <x v="0"/>
  </r>
  <r>
    <n v="593"/>
    <s v="HART"/>
    <s v="Chloe"/>
    <x v="100"/>
    <s v="Bid Manager"/>
    <x v="0"/>
    <x v="15"/>
    <x v="3"/>
    <s v="Eleanor Barnes"/>
    <x v="5"/>
    <s v="Sales"/>
    <m/>
    <m/>
    <m/>
    <m/>
    <m/>
    <s v="Last day 27/9"/>
    <x v="27"/>
    <m/>
    <n v="1"/>
    <x v="0"/>
  </r>
  <r>
    <n v="595"/>
    <s v="KULASINGHE"/>
    <s v="Nishadi"/>
    <x v="101"/>
    <s v="Senior Test Analyst"/>
    <x v="0"/>
    <x v="4"/>
    <x v="1"/>
    <s v="Joe Krinkel"/>
    <x v="13"/>
    <s v="Americas"/>
    <m/>
    <m/>
    <m/>
    <m/>
    <m/>
    <m/>
    <x v="0"/>
    <s v="FT"/>
    <n v="1"/>
    <x v="0"/>
  </r>
  <r>
    <n v="597"/>
    <s v="BLANCO"/>
    <s v="Hayrom"/>
    <x v="102"/>
    <s v="Support Engineer"/>
    <x v="1"/>
    <x v="0"/>
    <x v="1"/>
    <s v="Minor Álvarez-Gómez"/>
    <x v="27"/>
    <s v="Americas"/>
    <m/>
    <m/>
    <m/>
    <m/>
    <m/>
    <m/>
    <x v="0"/>
    <s v="FT"/>
    <n v="1"/>
    <x v="0"/>
  </r>
  <r>
    <n v="596"/>
    <s v="KUMARASWAMY"/>
    <s v="Krithika"/>
    <x v="103"/>
    <s v="Security Operation Analyst"/>
    <x v="0"/>
    <x v="24"/>
    <x v="6"/>
    <s v="Bryan Hughes"/>
    <x v="28"/>
    <s v="Finance + People"/>
    <m/>
    <m/>
    <m/>
    <m/>
    <m/>
    <m/>
    <x v="0"/>
    <s v="FT"/>
    <n v="1"/>
    <x v="0"/>
  </r>
  <r>
    <n v="600"/>
    <s v="ZIVKOVIC"/>
    <s v="Alexa"/>
    <x v="104"/>
    <s v="Senior Technical Writer"/>
    <x v="0"/>
    <x v="22"/>
    <x v="2"/>
    <s v="Jayd Smith"/>
    <x v="24"/>
    <s v="Sales"/>
    <m/>
    <m/>
    <m/>
    <m/>
    <m/>
    <m/>
    <x v="0"/>
    <s v="FT"/>
    <n v="1"/>
    <x v="0"/>
  </r>
  <r>
    <n v="613"/>
    <s v="ARTYMIAK"/>
    <s v="Ryan"/>
    <x v="105"/>
    <s v="Senior Support Engineer"/>
    <x v="0"/>
    <x v="0"/>
    <x v="1"/>
    <s v="Stephen Rennell"/>
    <x v="22"/>
    <s v="Americas"/>
    <m/>
    <m/>
    <m/>
    <m/>
    <m/>
    <m/>
    <x v="0"/>
    <s v="FT"/>
    <n v="1"/>
    <x v="0"/>
  </r>
  <r>
    <n v="627"/>
    <s v="GILBERTSON"/>
    <s v="Piers"/>
    <x v="105"/>
    <s v="Learning Designer"/>
    <x v="0"/>
    <x v="22"/>
    <x v="2"/>
    <s v="Jayd Smith"/>
    <x v="24"/>
    <s v="Engineering"/>
    <m/>
    <m/>
    <m/>
    <m/>
    <m/>
    <m/>
    <x v="28"/>
    <s v="FT"/>
    <n v="1"/>
    <x v="0"/>
  </r>
  <r>
    <n v="612"/>
    <s v="RAJAMANI"/>
    <s v="Sai"/>
    <x v="106"/>
    <s v="Senior Business Analyst"/>
    <x v="0"/>
    <x v="9"/>
    <x v="0"/>
    <s v="Rob Dongol"/>
    <x v="11"/>
    <s v="Europe"/>
    <m/>
    <m/>
    <m/>
    <m/>
    <m/>
    <m/>
    <x v="29"/>
    <s v="FT"/>
    <n v="1"/>
    <x v="0"/>
  </r>
  <r>
    <n v="602"/>
    <s v="DONALD"/>
    <s v="Natasha"/>
    <x v="106"/>
    <s v="Training Lead"/>
    <x v="0"/>
    <x v="22"/>
    <x v="2"/>
    <s v="Jayd Smith"/>
    <x v="24"/>
    <s v="Engineering"/>
    <m/>
    <m/>
    <m/>
    <m/>
    <m/>
    <m/>
    <x v="0"/>
    <s v="FT"/>
    <n v="1"/>
    <x v="0"/>
  </r>
  <r>
    <n v="628"/>
    <s v="RUVANDO"/>
    <s v="Maureen"/>
    <x v="107"/>
    <s v="Senior Project Coordinator"/>
    <x v="0"/>
    <x v="2"/>
    <x v="4"/>
    <s v="Pollob Sharma"/>
    <x v="18"/>
    <s v="Asia Pacific"/>
    <m/>
    <m/>
    <m/>
    <m/>
    <m/>
    <m/>
    <x v="0"/>
    <s v="FT"/>
    <n v="1"/>
    <x v="0"/>
  </r>
  <r>
    <n v="629"/>
    <s v="GUNATHILAKA"/>
    <s v="Randika"/>
    <x v="108"/>
    <s v="Senior Developer"/>
    <x v="0"/>
    <x v="0"/>
    <x v="0"/>
    <s v="Blaire Alder"/>
    <x v="6"/>
    <s v="Europe"/>
    <m/>
    <m/>
    <m/>
    <m/>
    <m/>
    <m/>
    <x v="0"/>
    <s v="FT"/>
    <n v="1"/>
    <x v="0"/>
  </r>
  <r>
    <n v="630"/>
    <s v="SAIK"/>
    <s v="Sheryl"/>
    <x v="109"/>
    <s v="Finance Business Partner"/>
    <x v="0"/>
    <x v="6"/>
    <x v="6"/>
    <s v="Sharleen Thornley"/>
    <x v="9"/>
    <s v="Finance + People"/>
    <m/>
    <m/>
    <m/>
    <m/>
    <m/>
    <m/>
    <x v="0"/>
    <s v="FT"/>
    <n v="1"/>
    <x v="0"/>
  </r>
  <r>
    <n v="634"/>
    <s v="CHAUHAN"/>
    <s v="Aryansh"/>
    <x v="109"/>
    <s v="Office Support"/>
    <x v="0"/>
    <x v="21"/>
    <x v="2"/>
    <s v="Robert Higgins "/>
    <x v="5"/>
    <s v="Engineering"/>
    <m/>
    <m/>
    <s v="Technology - Infrastructure"/>
    <m/>
    <m/>
    <m/>
    <x v="30"/>
    <m/>
    <n v="1"/>
    <x v="0"/>
  </r>
  <r>
    <n v="576"/>
    <s v="TANEZA"/>
    <s v="Edson"/>
    <x v="110"/>
    <s v="Senior Test Analyst"/>
    <x v="0"/>
    <x v="4"/>
    <x v="0"/>
    <s v="Tim Claridge"/>
    <x v="11"/>
    <s v="Europe"/>
    <m/>
    <m/>
    <m/>
    <m/>
    <m/>
    <s v="Move to Cyprus 12 Aug"/>
    <x v="0"/>
    <s v="FT"/>
    <n v="1"/>
    <x v="0"/>
  </r>
  <r>
    <n v="298"/>
    <s v="LEE"/>
    <s v="Victoria"/>
    <x v="111"/>
    <s v="Head of Consulting, Americas"/>
    <x v="0"/>
    <x v="8"/>
    <x v="1"/>
    <s v="Pollob Sharma"/>
    <x v="22"/>
    <s v="Americas"/>
    <s v="Americas"/>
    <d v="2024-06-24T00:00:00"/>
    <s v="Bahamas P1 Go-Live"/>
    <s v="Belize"/>
    <m/>
    <m/>
    <x v="0"/>
    <s v="FT"/>
    <n v="1"/>
    <x v="0"/>
  </r>
  <r>
    <n v="635"/>
    <s v="SAVVIA"/>
    <s v="Antonia"/>
    <x v="112"/>
    <s v="Project Manager"/>
    <x v="4"/>
    <x v="2"/>
    <x v="0"/>
    <s v="Julian Virtue"/>
    <x v="6"/>
    <s v="Europe"/>
    <m/>
    <m/>
    <m/>
    <m/>
    <m/>
    <m/>
    <x v="0"/>
    <s v="FT"/>
    <n v="1"/>
    <x v="0"/>
  </r>
  <r>
    <n v="579"/>
    <s v="GUNAWARDANA"/>
    <s v="Janani"/>
    <x v="113"/>
    <s v="Senior Test Analyst"/>
    <x v="0"/>
    <x v="4"/>
    <x v="0"/>
    <s v="Tim Claridge"/>
    <x v="11"/>
    <s v="Europe"/>
    <m/>
    <m/>
    <m/>
    <m/>
    <m/>
    <s v="Move to Jersey till Nov"/>
    <x v="0"/>
    <s v="FT"/>
    <n v="1"/>
    <x v="0"/>
  </r>
  <r>
    <n v="664"/>
    <s v="GILL DALJIT SINGH"/>
    <s v="Kamal"/>
    <x v="113"/>
    <s v="Delivery Lead"/>
    <x v="0"/>
    <x v="21"/>
    <x v="0"/>
    <s v="Joe Ede"/>
    <x v="5"/>
    <s v="Europe"/>
    <m/>
    <m/>
    <s v="Jersey &amp; IOM"/>
    <m/>
    <m/>
    <m/>
    <x v="31"/>
    <m/>
    <n v="1"/>
    <x v="0"/>
  </r>
  <r>
    <n v="657"/>
    <s v="VASILEIOU"/>
    <s v="Andreas"/>
    <x v="114"/>
    <s v="Service Delivery Lead, Cyprus"/>
    <x v="4"/>
    <x v="2"/>
    <x v="0"/>
    <s v="Pavlos Papapavlou"/>
    <x v="6"/>
    <s v="Europe"/>
    <m/>
    <m/>
    <m/>
    <m/>
    <m/>
    <m/>
    <x v="0"/>
    <s v="FT"/>
    <n v="1"/>
    <x v="0"/>
  </r>
  <r>
    <n v="656"/>
    <s v="CARLYLE"/>
    <s v="Lindsay"/>
    <x v="115"/>
    <s v="Programme Delivery Coordinator"/>
    <x v="0"/>
    <x v="2"/>
    <x v="0"/>
    <s v="Joe Ede"/>
    <x v="11"/>
    <s v="Europe"/>
    <m/>
    <m/>
    <m/>
    <m/>
    <m/>
    <s v="30 hours from 10/1/25 extended to 28/4/26. Moving to Cyprus 12 Aug"/>
    <x v="0"/>
    <s v="PT"/>
    <n v="0.8"/>
    <x v="0"/>
  </r>
  <r>
    <n v="660"/>
    <s v="HUGHES"/>
    <s v="Bryan"/>
    <x v="116"/>
    <s v="Head of Information Risk &amp; Privacy"/>
    <x v="0"/>
    <x v="24"/>
    <x v="6"/>
    <s v="Nick Steevens"/>
    <x v="28"/>
    <s v="Finance + People"/>
    <m/>
    <m/>
    <m/>
    <m/>
    <m/>
    <m/>
    <x v="0"/>
    <s v="FT"/>
    <n v="1"/>
    <x v="0"/>
  </r>
  <r>
    <n v="659"/>
    <s v="WOODS"/>
    <s v="Sarah"/>
    <x v="117"/>
    <s v="Leadership and Performance Coach"/>
    <x v="0"/>
    <x v="10"/>
    <x v="6"/>
    <s v="Janet Macaskill"/>
    <x v="15"/>
    <s v="Finance + People"/>
    <m/>
    <m/>
    <m/>
    <m/>
    <m/>
    <m/>
    <x v="0"/>
    <s v="FT"/>
    <n v="1"/>
    <x v="0"/>
  </r>
  <r>
    <n v="662"/>
    <s v="VISWANATHAN"/>
    <s v="Raja"/>
    <x v="118"/>
    <s v="Senior Developer"/>
    <x v="0"/>
    <x v="0"/>
    <x v="0"/>
    <s v="Blaire Alder"/>
    <x v="6"/>
    <s v="Europe"/>
    <m/>
    <m/>
    <m/>
    <m/>
    <m/>
    <m/>
    <x v="0"/>
    <s v="FT"/>
    <n v="1"/>
    <x v="0"/>
  </r>
  <r>
    <n v="647"/>
    <s v="BIANCHI"/>
    <s v="Sofia"/>
    <x v="119"/>
    <s v="Developer"/>
    <x v="0"/>
    <x v="0"/>
    <x v="1"/>
    <s v="Stephen Rennell"/>
    <x v="13"/>
    <s v="Americas"/>
    <m/>
    <m/>
    <m/>
    <m/>
    <m/>
    <m/>
    <x v="0"/>
    <s v="FT"/>
    <n v="1"/>
    <x v="0"/>
  </r>
  <r>
    <n v="668"/>
    <s v="SHORTLAND"/>
    <s v="John"/>
    <x v="120"/>
    <s v="Infrastructure Engineer"/>
    <x v="0"/>
    <x v="7"/>
    <x v="2"/>
    <s v="Robert Higgins "/>
    <x v="17"/>
    <s v="Engineering"/>
    <m/>
    <m/>
    <m/>
    <m/>
    <m/>
    <s v="Contractor - Contract ends 22/8/2024. Contract extension to 14/10/24"/>
    <x v="32"/>
    <s v="PT"/>
    <n v="1"/>
    <x v="1"/>
  </r>
  <r>
    <n v="675"/>
    <s v="RATTANOUG"/>
    <s v="Pheth"/>
    <x v="121"/>
    <s v="Senior Test Analyst"/>
    <x v="0"/>
    <x v="4"/>
    <x v="0"/>
    <s v="Chris Morton"/>
    <x v="6"/>
    <s v="Europe"/>
    <m/>
    <m/>
    <m/>
    <m/>
    <m/>
    <m/>
    <x v="0"/>
    <s v="FT"/>
    <n v="1"/>
    <x v="0"/>
  </r>
  <r>
    <n v="670"/>
    <s v="TRIGUEROS CRUZ "/>
    <s v="Gustavo "/>
    <x v="122"/>
    <s v="Test Analyst"/>
    <x v="1"/>
    <x v="4"/>
    <x v="1"/>
    <s v="Joe Krinkel"/>
    <x v="13"/>
    <s v="Asia Pacific"/>
    <s v="Americas"/>
    <d v="2024-08-12T00:00:00"/>
    <s v="Solomons P2 Go-Live"/>
    <s v="Belize"/>
    <m/>
    <m/>
    <x v="0"/>
    <s v="FT"/>
    <n v="1"/>
    <x v="0"/>
  </r>
  <r>
    <n v="671"/>
    <s v="CASTILLO"/>
    <s v="Fiorella"/>
    <x v="123"/>
    <s v="Operations Support and Project Coordinator"/>
    <x v="1"/>
    <x v="2"/>
    <x v="1"/>
    <s v="JC"/>
    <x v="29"/>
    <s v="Americas"/>
    <m/>
    <m/>
    <m/>
    <m/>
    <m/>
    <m/>
    <x v="0"/>
    <s v="FT"/>
    <n v="1"/>
    <x v="0"/>
  </r>
  <r>
    <n v="672"/>
    <s v="ZORLIS"/>
    <s v="Christoforos"/>
    <x v="124"/>
    <s v="Senior Developer"/>
    <x v="4"/>
    <x v="0"/>
    <x v="0"/>
    <s v="Pavlos Papapavlou"/>
    <x v="6"/>
    <s v="Europe"/>
    <m/>
    <m/>
    <m/>
    <m/>
    <m/>
    <m/>
    <x v="0"/>
    <s v="FT"/>
    <n v="1"/>
    <x v="0"/>
  </r>
  <r>
    <n v="676"/>
    <s v="HAMILTON"/>
    <s v="Maddison"/>
    <x v="125"/>
    <s v="Business Coordinator "/>
    <x v="0"/>
    <x v="17"/>
    <x v="6"/>
    <s v="Janet Macaskill"/>
    <x v="15"/>
    <s v="Finance + People"/>
    <m/>
    <m/>
    <m/>
    <m/>
    <m/>
    <m/>
    <x v="0"/>
    <s v="FT"/>
    <n v="1"/>
    <x v="0"/>
  </r>
  <r>
    <n v="522"/>
    <s v="EKMAN"/>
    <s v="Gabby"/>
    <x v="126"/>
    <s v="Delivery Lead"/>
    <x v="0"/>
    <x v="2"/>
    <x v="1"/>
    <s v="Richard Morrison"/>
    <x v="4"/>
    <s v="Americas"/>
    <m/>
    <m/>
    <m/>
    <m/>
    <m/>
    <m/>
    <x v="0"/>
    <s v="FT"/>
    <n v="1"/>
    <x v="0"/>
  </r>
  <r>
    <n v="678"/>
    <s v="PENN"/>
    <s v="Steve"/>
    <x v="127"/>
    <s v="Senior Test Analyst"/>
    <x v="0"/>
    <x v="4"/>
    <x v="1"/>
    <s v="Joe Krinkel"/>
    <x v="4"/>
    <s v="Americas"/>
    <m/>
    <m/>
    <m/>
    <m/>
    <m/>
    <m/>
    <x v="0"/>
    <s v="FT"/>
    <n v="1"/>
    <x v="0"/>
  </r>
  <r>
    <n v="684"/>
    <s v="KAY"/>
    <s v="Vernon"/>
    <x v="128"/>
    <s v="Chief Executive"/>
    <x v="0"/>
    <x v="1"/>
    <x v="9"/>
    <s v="Board"/>
    <x v="1"/>
    <s v="ELT"/>
    <m/>
    <m/>
    <m/>
    <m/>
    <m/>
    <m/>
    <x v="0"/>
    <s v="FT"/>
    <n v="1"/>
    <x v="0"/>
  </r>
  <r>
    <n v="674"/>
    <s v="SUMNER"/>
    <s v="Andrew"/>
    <x v="129"/>
    <s v="DevOps Manger"/>
    <x v="0"/>
    <x v="1"/>
    <x v="2"/>
    <s v="Robert Higgins "/>
    <x v="26"/>
    <s v="Engineering"/>
    <m/>
    <m/>
    <m/>
    <m/>
    <m/>
    <m/>
    <x v="0"/>
    <s v="FT"/>
    <n v="1"/>
    <x v="0"/>
  </r>
  <r>
    <n v="680"/>
    <s v="WANIGARATHNE"/>
    <s v="Nalinda"/>
    <x v="130"/>
    <s v="Senior Developer"/>
    <x v="0"/>
    <x v="0"/>
    <x v="1"/>
    <s v="Stephen Rennell"/>
    <x v="4"/>
    <s v="Americas"/>
    <m/>
    <m/>
    <m/>
    <m/>
    <m/>
    <m/>
    <x v="0"/>
    <s v="FT"/>
    <n v="1"/>
    <x v="0"/>
  </r>
  <r>
    <n v="679"/>
    <s v="LANZAS"/>
    <s v="Kristel"/>
    <x v="131"/>
    <s v="Senior Developer"/>
    <x v="1"/>
    <x v="0"/>
    <x v="1"/>
    <s v="Minor Álvarez-Gómez"/>
    <x v="13"/>
    <s v="Americas"/>
    <m/>
    <m/>
    <m/>
    <s v="Guyana"/>
    <m/>
    <m/>
    <x v="0"/>
    <s v="FT"/>
    <n v="1"/>
    <x v="0"/>
  </r>
  <r>
    <n v="682"/>
    <s v="UREÑA"/>
    <s v="Herberth"/>
    <x v="131"/>
    <s v="Senior Developer"/>
    <x v="1"/>
    <x v="0"/>
    <x v="1"/>
    <s v="Ignacio Berrosteguieta"/>
    <x v="5"/>
    <s v="Americas"/>
    <m/>
    <m/>
    <s v="Service Delivery - Bahamas"/>
    <s v="Guyana"/>
    <m/>
    <m/>
    <x v="33"/>
    <m/>
    <n v="1"/>
    <x v="0"/>
  </r>
  <r>
    <n v="683"/>
    <s v="WONG"/>
    <s v="Garvin"/>
    <x v="132"/>
    <s v="Senior Database Analyst"/>
    <x v="0"/>
    <x v="20"/>
    <x v="2"/>
    <s v="Mark Fairmaid"/>
    <x v="21"/>
    <s v="Engineering"/>
    <m/>
    <m/>
    <m/>
    <m/>
    <m/>
    <m/>
    <x v="0"/>
    <s v="FT"/>
    <n v="1"/>
    <x v="0"/>
  </r>
  <r>
    <n v="744"/>
    <s v="Daste"/>
    <s v="Jerome"/>
    <x v="133"/>
    <s v="Senior Developer"/>
    <x v="0"/>
    <x v="0"/>
    <x v="1"/>
    <s v="Stephen Rennell"/>
    <x v="4"/>
    <m/>
    <m/>
    <m/>
    <m/>
    <m/>
    <m/>
    <m/>
    <x v="0"/>
    <s v="FT"/>
    <n v="1"/>
    <x v="0"/>
  </r>
  <r>
    <n v="685"/>
    <s v="LAPERTAS"/>
    <s v="Dimitrios"/>
    <x v="134"/>
    <s v="Senior Test Analyst"/>
    <x v="4"/>
    <x v="4"/>
    <x v="0"/>
    <s v="Pavlos Papapavlou"/>
    <x v="6"/>
    <s v="Europe"/>
    <m/>
    <m/>
    <m/>
    <m/>
    <m/>
    <m/>
    <x v="0"/>
    <s v="FT"/>
    <n v="1"/>
    <x v="0"/>
  </r>
  <r>
    <n v="688"/>
    <s v="ISURUWAN"/>
    <s v="Arunoda"/>
    <x v="134"/>
    <s v="Senior Developer "/>
    <x v="0"/>
    <x v="0"/>
    <x v="4"/>
    <s v="Niraj Nagtilak"/>
    <x v="14"/>
    <s v="Asia Pacific"/>
    <m/>
    <m/>
    <m/>
    <m/>
    <m/>
    <m/>
    <x v="0"/>
    <s v="FT"/>
    <n v="1"/>
    <x v="0"/>
  </r>
  <r>
    <n v="686"/>
    <s v="ADAKARI"/>
    <s v="Ruchira"/>
    <x v="135"/>
    <s v="Senior Developer"/>
    <x v="0"/>
    <x v="0"/>
    <x v="4"/>
    <s v="Jonathan Eagle"/>
    <x v="18"/>
    <s v="Asia Pacific"/>
    <m/>
    <m/>
    <m/>
    <m/>
    <m/>
    <s v="Remote working in Hamilton until 20 Jan 2026"/>
    <x v="0"/>
    <s v="FT"/>
    <n v="1"/>
    <x v="0"/>
  </r>
  <r>
    <n v="687"/>
    <s v="EAGLE"/>
    <s v="Jonathan"/>
    <x v="135"/>
    <s v="Engineering Lead "/>
    <x v="0"/>
    <x v="0"/>
    <x v="2"/>
    <s v="Pollob Sharma"/>
    <x v="18"/>
    <s v="Asia Pacific"/>
    <m/>
    <m/>
    <m/>
    <m/>
    <m/>
    <s v="Seconding to Engineering for 3 months from 4 Aug"/>
    <x v="0"/>
    <s v="FT"/>
    <n v="1"/>
    <x v="0"/>
  </r>
  <r>
    <n v="689"/>
    <s v="WALI"/>
    <s v="Sakshi"/>
    <x v="136"/>
    <s v="Senior Test Analyst"/>
    <x v="0"/>
    <x v="4"/>
    <x v="0"/>
    <s v="Chris Morton"/>
    <x v="6"/>
    <m/>
    <s v="Europe"/>
    <d v="2024-12-09T00:00:00"/>
    <m/>
    <s v="Cyprus"/>
    <m/>
    <m/>
    <x v="0"/>
    <s v="FT"/>
    <n v="1"/>
    <x v="0"/>
  </r>
  <r>
    <n v="690"/>
    <s v="O'BYRNE"/>
    <s v="Cath"/>
    <x v="137"/>
    <s v="Senior Business Analyst"/>
    <x v="0"/>
    <x v="9"/>
    <x v="4"/>
    <s v="Pollob Sharma"/>
    <x v="18"/>
    <m/>
    <m/>
    <m/>
    <m/>
    <m/>
    <m/>
    <m/>
    <x v="0"/>
    <s v="FT"/>
    <n v="1"/>
    <x v="0"/>
  </r>
  <r>
    <n v="691"/>
    <s v="NAGTILAK"/>
    <s v="Niraj"/>
    <x v="137"/>
    <s v="Technical Implementation Architect"/>
    <x v="0"/>
    <x v="0"/>
    <x v="4"/>
    <s v="Pollob Sharma"/>
    <x v="14"/>
    <m/>
    <m/>
    <m/>
    <m/>
    <m/>
    <m/>
    <m/>
    <x v="0"/>
    <s v="FT"/>
    <n v="1"/>
    <x v="0"/>
  </r>
  <r>
    <n v="692"/>
    <s v="SHARMA"/>
    <s v="Pollob"/>
    <x v="137"/>
    <s v="Interim VP Americas"/>
    <x v="0"/>
    <x v="1"/>
    <x v="1"/>
    <s v="Jane Grant"/>
    <x v="19"/>
    <m/>
    <m/>
    <m/>
    <m/>
    <m/>
    <m/>
    <m/>
    <x v="0"/>
    <s v="FT"/>
    <n v="1"/>
    <x v="0"/>
  </r>
  <r>
    <n v="693"/>
    <s v="SENANAYAKA"/>
    <s v="Miran"/>
    <x v="138"/>
    <s v="Senior Developer"/>
    <x v="0"/>
    <x v="0"/>
    <x v="0"/>
    <s v="Tim Claridge"/>
    <x v="3"/>
    <m/>
    <m/>
    <m/>
    <m/>
    <m/>
    <m/>
    <m/>
    <x v="0"/>
    <s v="FT"/>
    <n v="1"/>
    <x v="0"/>
  </r>
  <r>
    <n v="695"/>
    <s v="GLASGOW"/>
    <s v="Clive"/>
    <x v="139"/>
    <s v="Learning Designer"/>
    <x v="0"/>
    <x v="22"/>
    <x v="2"/>
    <s v="Jayd Smith"/>
    <x v="24"/>
    <m/>
    <m/>
    <m/>
    <m/>
    <m/>
    <m/>
    <m/>
    <x v="0"/>
    <s v="FT"/>
    <n v="1"/>
    <x v="0"/>
  </r>
  <r>
    <n v="696"/>
    <s v="SPIERS"/>
    <s v="Catherine (Cat)"/>
    <x v="140"/>
    <s v="Senior Test Analyst"/>
    <x v="0"/>
    <x v="4"/>
    <x v="4"/>
    <s v="Stephanie Bremner"/>
    <x v="14"/>
    <m/>
    <m/>
    <m/>
    <m/>
    <m/>
    <m/>
    <m/>
    <x v="0"/>
    <s v="FT"/>
    <n v="1"/>
    <x v="0"/>
  </r>
  <r>
    <n v="694"/>
    <s v="DEMSAR"/>
    <s v="Nico (Jose Nicolas)"/>
    <x v="141"/>
    <s v="Senior Developer"/>
    <x v="0"/>
    <x v="0"/>
    <x v="2"/>
    <s v="Brendon Tribe "/>
    <x v="2"/>
    <m/>
    <m/>
    <m/>
    <m/>
    <m/>
    <m/>
    <m/>
    <x v="0"/>
    <s v="FT"/>
    <n v="1"/>
    <x v="0"/>
  </r>
  <r>
    <n v="699"/>
    <s v="McDowell "/>
    <s v="Rachel"/>
    <x v="141"/>
    <s v="Senior Test Analyst"/>
    <x v="0"/>
    <x v="4"/>
    <x v="2"/>
    <s v="Calli Bradford"/>
    <x v="2"/>
    <m/>
    <m/>
    <m/>
    <m/>
    <m/>
    <m/>
    <m/>
    <x v="0"/>
    <s v="FT"/>
    <n v="1"/>
    <x v="0"/>
  </r>
  <r>
    <n v="701"/>
    <s v="Sharood"/>
    <s v="Ahmed (Ed) "/>
    <x v="142"/>
    <s v="Principal Engineer"/>
    <x v="0"/>
    <x v="13"/>
    <x v="2"/>
    <s v="Neil Murtagh"/>
    <x v="5"/>
    <m/>
    <m/>
    <m/>
    <m/>
    <m/>
    <m/>
    <s v="Last day 23 October "/>
    <x v="34"/>
    <m/>
    <n v="1"/>
    <x v="0"/>
  </r>
  <r>
    <n v="702"/>
    <s v="Uppala"/>
    <s v="Kamalakar (Kamal)"/>
    <x v="142"/>
    <s v="Developer"/>
    <x v="0"/>
    <x v="0"/>
    <x v="1"/>
    <s v="Stephen Rennell"/>
    <x v="27"/>
    <m/>
    <m/>
    <m/>
    <m/>
    <m/>
    <m/>
    <m/>
    <x v="0"/>
    <s v="FT"/>
    <n v="1"/>
    <x v="0"/>
  </r>
  <r>
    <n v="697"/>
    <s v="PERMANA"/>
    <s v="Dimaz"/>
    <x v="143"/>
    <s v="Senior Test Analyst"/>
    <x v="0"/>
    <x v="4"/>
    <x v="1"/>
    <s v="Joe Krinkel"/>
    <x v="22"/>
    <m/>
    <m/>
    <m/>
    <m/>
    <m/>
    <m/>
    <m/>
    <x v="35"/>
    <s v="FT"/>
    <n v="1"/>
    <x v="0"/>
  </r>
  <r>
    <n v="698"/>
    <s v="PANDA"/>
    <s v="Mukesh"/>
    <x v="144"/>
    <s v="Senior Test Analyst"/>
    <x v="0"/>
    <x v="4"/>
    <x v="0"/>
    <s v="Tim Claridge"/>
    <x v="6"/>
    <m/>
    <m/>
    <m/>
    <m/>
    <m/>
    <m/>
    <m/>
    <x v="14"/>
    <s v="FT"/>
    <n v="1"/>
    <x v="0"/>
  </r>
  <r>
    <n v="705"/>
    <s v="ALI"/>
    <s v="Imran"/>
    <x v="144"/>
    <s v="Senior Developer"/>
    <x v="0"/>
    <x v="0"/>
    <x v="1"/>
    <s v="Stephen Rennell"/>
    <x v="4"/>
    <m/>
    <m/>
    <m/>
    <m/>
    <m/>
    <m/>
    <m/>
    <x v="0"/>
    <s v="FT"/>
    <n v="1"/>
    <x v="0"/>
  </r>
  <r>
    <n v="704"/>
    <s v="Perhanidis"/>
    <s v="Michailis (Mike)"/>
    <x v="145"/>
    <s v="Developer"/>
    <x v="4"/>
    <x v="0"/>
    <x v="0"/>
    <s v="Pavlos Papapavlou"/>
    <x v="6"/>
    <m/>
    <m/>
    <m/>
    <m/>
    <m/>
    <m/>
    <m/>
    <x v="0"/>
    <s v="FT"/>
    <n v="1"/>
    <x v="0"/>
  </r>
  <r>
    <n v="706"/>
    <s v="Horne"/>
    <s v="Natalie "/>
    <x v="145"/>
    <s v="Test Automation Engineer"/>
    <x v="0"/>
    <x v="4"/>
    <x v="4"/>
    <s v="Stephanie Bremner"/>
    <x v="14"/>
    <m/>
    <m/>
    <m/>
    <m/>
    <m/>
    <m/>
    <m/>
    <x v="0"/>
    <s v="PT"/>
    <n v="0.8"/>
    <x v="0"/>
  </r>
  <r>
    <n v="707"/>
    <s v="Rathnaweera"/>
    <s v="Chandima "/>
    <x v="145"/>
    <s v="Senior Developer"/>
    <x v="0"/>
    <x v="0"/>
    <x v="1"/>
    <s v="Stephen Rennell"/>
    <x v="27"/>
    <m/>
    <m/>
    <m/>
    <m/>
    <m/>
    <m/>
    <m/>
    <x v="0"/>
    <s v="FT"/>
    <n v="1"/>
    <x v="0"/>
  </r>
  <r>
    <n v="709"/>
    <s v="CHILDS"/>
    <s v="Hayley"/>
    <x v="146"/>
    <s v="Casual Office Support"/>
    <x v="0"/>
    <x v="7"/>
    <x v="2"/>
    <s v="Robert Higgins "/>
    <x v="5"/>
    <m/>
    <m/>
    <m/>
    <m/>
    <m/>
    <m/>
    <s v="Temporary short-term employee"/>
    <x v="2"/>
    <m/>
    <n v="1"/>
    <x v="0"/>
  </r>
  <r>
    <n v="713"/>
    <s v="STEEVENS"/>
    <s v="Kylie"/>
    <x v="147"/>
    <s v="Accountant"/>
    <x v="0"/>
    <x v="6"/>
    <x v="6"/>
    <s v="Lisa Swann"/>
    <x v="8"/>
    <m/>
    <m/>
    <m/>
    <m/>
    <m/>
    <m/>
    <s v="Contract 18/8-24/12. Part time 3 days per week (20h); Extended into 2025"/>
    <x v="29"/>
    <s v="PT"/>
    <n v="1"/>
    <x v="1"/>
  </r>
  <r>
    <n v="708"/>
    <s v="Virtue "/>
    <s v="Julian"/>
    <x v="148"/>
    <s v="Delivery Director Cyprus"/>
    <x v="0"/>
    <x v="2"/>
    <x v="0"/>
    <s v="Vernon Kay"/>
    <x v="6"/>
    <m/>
    <m/>
    <m/>
    <m/>
    <m/>
    <m/>
    <m/>
    <x v="0"/>
    <s v="FT"/>
    <n v="1"/>
    <x v="0"/>
  </r>
  <r>
    <n v="714"/>
    <s v="McIndoe"/>
    <s v="Jamie"/>
    <x v="149"/>
    <s v="Delivery Lead"/>
    <x v="0"/>
    <x v="2"/>
    <x v="2"/>
    <s v="Robert Higgins "/>
    <x v="10"/>
    <m/>
    <m/>
    <m/>
    <m/>
    <m/>
    <m/>
    <m/>
    <x v="0"/>
    <s v="FT"/>
    <n v="1"/>
    <x v="0"/>
  </r>
  <r>
    <n v="715"/>
    <s v="Higgins"/>
    <s v="Robert"/>
    <x v="150"/>
    <s v="Acting Head of Infrastructure &amp; Automation "/>
    <x v="0"/>
    <x v="1"/>
    <x v="2"/>
    <s v="Robert Higgins "/>
    <x v="17"/>
    <m/>
    <m/>
    <m/>
    <m/>
    <m/>
    <m/>
    <m/>
    <x v="0"/>
    <s v="FT"/>
    <n v="1"/>
    <x v="0"/>
  </r>
  <r>
    <n v="716"/>
    <s v="Dongol"/>
    <s v="Robin (Rob)"/>
    <x v="151"/>
    <s v="Delivery Lead"/>
    <x v="0"/>
    <x v="2"/>
    <x v="0"/>
    <s v="Joe Ede"/>
    <x v="3"/>
    <m/>
    <m/>
    <m/>
    <m/>
    <m/>
    <m/>
    <m/>
    <x v="0"/>
    <s v="FT"/>
    <n v="1"/>
    <x v="0"/>
  </r>
  <r>
    <n v="717"/>
    <s v="Winston"/>
    <s v="Anntharshika (Ann)"/>
    <x v="152"/>
    <s v="Desktop Support Engineer"/>
    <x v="0"/>
    <x v="12"/>
    <x v="2"/>
    <s v="Mark Fairmaid"/>
    <x v="17"/>
    <m/>
    <m/>
    <m/>
    <m/>
    <m/>
    <m/>
    <m/>
    <x v="0"/>
    <s v="FT"/>
    <n v="1"/>
    <x v="0"/>
  </r>
  <r>
    <n v="721"/>
    <s v="Pearless"/>
    <s v="Lauren "/>
    <x v="153"/>
    <s v="Project &amp; Service Coordinator"/>
    <x v="0"/>
    <x v="18"/>
    <x v="4"/>
    <s v="Jonathan Clifford"/>
    <x v="14"/>
    <m/>
    <m/>
    <m/>
    <m/>
    <m/>
    <m/>
    <m/>
    <x v="36"/>
    <s v="FT"/>
    <n v="1"/>
    <x v="0"/>
  </r>
  <r>
    <n v="722"/>
    <s v="Molina"/>
    <s v="Francisco (Fran)"/>
    <x v="154"/>
    <s v="Delivery Lead"/>
    <x v="0"/>
    <x v="2"/>
    <x v="4"/>
    <s v="Pollob Sharma"/>
    <x v="14"/>
    <m/>
    <m/>
    <m/>
    <m/>
    <m/>
    <m/>
    <m/>
    <x v="0"/>
    <s v="FT"/>
    <n v="1"/>
    <x v="0"/>
  </r>
  <r>
    <n v="723"/>
    <s v="Dorfling"/>
    <s v="Kyle"/>
    <x v="155"/>
    <s v="Senior Developer "/>
    <x v="0"/>
    <x v="0"/>
    <x v="4"/>
    <s v="Niraj Nagtilak"/>
    <x v="14"/>
    <m/>
    <m/>
    <m/>
    <m/>
    <m/>
    <m/>
    <m/>
    <x v="0"/>
    <s v="FT"/>
    <n v="1"/>
    <x v="0"/>
  </r>
  <r>
    <n v="724"/>
    <s v="Morton"/>
    <s v="Christine (Chris)"/>
    <x v="156"/>
    <s v="Senior Project Manager"/>
    <x v="0"/>
    <x v="2"/>
    <x v="0"/>
    <s v="Julian Virtue"/>
    <x v="6"/>
    <m/>
    <m/>
    <m/>
    <m/>
    <m/>
    <m/>
    <m/>
    <x v="0"/>
    <s v="FT"/>
    <n v="1"/>
    <x v="0"/>
  </r>
  <r>
    <n v="726"/>
    <s v="Gorospe"/>
    <s v="Marc"/>
    <x v="157"/>
    <s v="Automation Test Consultant"/>
    <x v="0"/>
    <x v="4"/>
    <x v="0"/>
    <s v="Julian Virtue"/>
    <x v="0"/>
    <m/>
    <m/>
    <m/>
    <m/>
    <m/>
    <m/>
    <s v="6 month contract ends 30 June 25"/>
    <x v="5"/>
    <s v="FT"/>
    <n v="1"/>
    <x v="1"/>
  </r>
  <r>
    <n v="725"/>
    <s v="Dellow"/>
    <s v="Phillip (Phil)"/>
    <x v="157"/>
    <s v="Senior DevOps Engineer"/>
    <x v="0"/>
    <x v="0"/>
    <x v="2"/>
    <s v="Andrew Sumner"/>
    <x v="26"/>
    <m/>
    <m/>
    <m/>
    <m/>
    <m/>
    <m/>
    <m/>
    <x v="0"/>
    <s v="FT"/>
    <n v="1"/>
    <x v="0"/>
  </r>
  <r>
    <n v="729"/>
    <s v="Olofsson"/>
    <s v="Fredrik"/>
    <x v="158"/>
    <s v="Technical Consultant"/>
    <x v="2"/>
    <x v="11"/>
    <x v="8"/>
    <s v="Tom Sanderson"/>
    <x v="16"/>
    <m/>
    <m/>
    <m/>
    <m/>
    <m/>
    <m/>
    <m/>
    <x v="0"/>
    <s v="PT"/>
    <n v="0.5"/>
    <x v="0"/>
  </r>
  <r>
    <n v="727"/>
    <s v="Lapwood"/>
    <s v="Richard"/>
    <x v="159"/>
    <s v="Senior Developer"/>
    <x v="0"/>
    <x v="0"/>
    <x v="0"/>
    <s v="Tim Claridge"/>
    <x v="3"/>
    <m/>
    <m/>
    <m/>
    <m/>
    <m/>
    <m/>
    <m/>
    <x v="0"/>
    <s v="FT"/>
    <n v="1"/>
    <x v="0"/>
  </r>
  <r>
    <n v="730"/>
    <s v="Malak"/>
    <s v="Zaki"/>
    <x v="160"/>
    <s v="Implementation Consultant "/>
    <x v="2"/>
    <x v="8"/>
    <x v="4"/>
    <s v="Pollob Sharma"/>
    <x v="14"/>
    <m/>
    <m/>
    <m/>
    <m/>
    <m/>
    <m/>
    <s v="Based in Montreal "/>
    <x v="0"/>
    <s v="FT"/>
    <n v="1"/>
    <x v="0"/>
  </r>
  <r>
    <n v="741"/>
    <s v="Wilson"/>
    <s v="Evan"/>
    <x v="161"/>
    <s v="VP Advisory, Data &amp;AI"/>
    <x v="0"/>
    <x v="1"/>
    <x v="7"/>
    <s v="Vernon Kay"/>
    <x v="12"/>
    <m/>
    <m/>
    <m/>
    <m/>
    <m/>
    <m/>
    <m/>
    <x v="0"/>
    <s v="FT"/>
    <n v="1"/>
    <x v="0"/>
  </r>
  <r>
    <n v="742"/>
    <s v="Lee"/>
    <s v="Kelly"/>
    <x v="162"/>
    <s v="Service Delivery Lead"/>
    <x v="0"/>
    <x v="2"/>
    <x v="4"/>
    <s v="Jonathan Clifford"/>
    <x v="29"/>
    <m/>
    <m/>
    <m/>
    <m/>
    <m/>
    <m/>
    <m/>
    <x v="0"/>
    <s v="FT"/>
    <n v="1"/>
    <x v="0"/>
  </r>
  <r>
    <n v="743"/>
    <s v="Thornley"/>
    <s v="Sharleen "/>
    <x v="163"/>
    <s v="Head of Finance "/>
    <x v="0"/>
    <x v="6"/>
    <x v="6"/>
    <s v="Nick Steevens"/>
    <x v="9"/>
    <m/>
    <m/>
    <m/>
    <m/>
    <m/>
    <m/>
    <m/>
    <x v="0"/>
    <s v="FT"/>
    <n v="1"/>
    <x v="0"/>
  </r>
  <r>
    <n v="745"/>
    <s v="Lloyd"/>
    <s v="Tracey"/>
    <x v="164"/>
    <s v="Strategic Advisor "/>
    <x v="3"/>
    <x v="25"/>
    <x v="7"/>
    <s v="Evan Wilson"/>
    <x v="12"/>
    <m/>
    <m/>
    <m/>
    <m/>
    <m/>
    <m/>
    <s v="20 hours per week, AKL based, contract to mid Nov"/>
    <x v="0"/>
    <s v="PT"/>
    <n v="0.5"/>
    <x v="1"/>
  </r>
  <r>
    <n v="747"/>
    <s v="O'Leary"/>
    <s v="Mary"/>
    <x v="165"/>
    <s v="BDM/ Project Director"/>
    <x v="2"/>
    <x v="25"/>
    <x v="7"/>
    <s v="Evan Wilson"/>
    <x v="20"/>
    <m/>
    <m/>
    <m/>
    <m/>
    <m/>
    <m/>
    <s v="Half time spent in sales "/>
    <x v="0"/>
    <s v="FT"/>
    <n v="1"/>
    <x v="0"/>
  </r>
  <r>
    <n v="746"/>
    <s v="Jaworski"/>
    <s v="Jonatan (JJ)"/>
    <x v="166"/>
    <s v="Head of Quality Engineering"/>
    <x v="0"/>
    <x v="4"/>
    <x v="2"/>
    <s v="Mark Morgan"/>
    <x v="2"/>
    <m/>
    <m/>
    <m/>
    <m/>
    <m/>
    <m/>
    <m/>
    <x v="0"/>
    <s v="FT"/>
    <n v="1"/>
    <x v="0"/>
  </r>
  <r>
    <n v="748"/>
    <s v="Huang"/>
    <s v="Neil"/>
    <x v="167"/>
    <s v="Intern"/>
    <x v="0"/>
    <x v="0"/>
    <x v="7"/>
    <s v="Evan Wilson"/>
    <x v="12"/>
    <m/>
    <m/>
    <m/>
    <m/>
    <m/>
    <m/>
    <s v="Contract extending till 31 Jan 26"/>
    <x v="0"/>
    <s v="FT"/>
    <n v="1"/>
    <x v="1"/>
  </r>
  <r>
    <n v="750"/>
    <s v="Duguid"/>
    <s v="Matt"/>
    <x v="168"/>
    <s v="Cloud Architect"/>
    <x v="0"/>
    <x v="0"/>
    <x v="2"/>
    <s v="Robert Higgins "/>
    <x v="30"/>
    <m/>
    <m/>
    <m/>
    <m/>
    <m/>
    <m/>
    <s v="6 month fixed term till 24 Dec"/>
    <x v="0"/>
    <s v="FT"/>
    <n v="1"/>
    <x v="1"/>
  </r>
  <r>
    <n v="751"/>
    <s v="Ede"/>
    <s v="Nikiru"/>
    <x v="169"/>
    <s v="Tax Systems Analyst"/>
    <x v="0"/>
    <x v="8"/>
    <x v="1"/>
    <s v="Victoria Lee"/>
    <x v="5"/>
    <m/>
    <m/>
    <m/>
    <m/>
    <m/>
    <m/>
    <m/>
    <x v="0"/>
    <s v="FT"/>
    <n v="1"/>
    <x v="0"/>
  </r>
  <r>
    <n v="749"/>
    <s v="Xiong"/>
    <s v="Ruiqi"/>
    <x v="170"/>
    <s v="Intern"/>
    <x v="0"/>
    <x v="0"/>
    <x v="7"/>
    <s v="Evan Wilson"/>
    <x v="12"/>
    <m/>
    <m/>
    <m/>
    <m/>
    <m/>
    <m/>
    <s v="Contract"/>
    <x v="0"/>
    <s v="FT"/>
    <n v="1"/>
    <x v="1"/>
  </r>
  <r>
    <n v="752"/>
    <s v="Tribe"/>
    <s v="Brendon"/>
    <x v="171"/>
    <s v="Development Manager"/>
    <x v="0"/>
    <x v="0"/>
    <x v="2"/>
    <s v="Brent Noble"/>
    <x v="2"/>
    <m/>
    <m/>
    <m/>
    <m/>
    <m/>
    <m/>
    <m/>
    <x v="0"/>
    <s v="FT"/>
    <n v="1"/>
    <x v="0"/>
  </r>
  <r>
    <n v="754"/>
    <s v="Amarasinghe"/>
    <s v="Sampath"/>
    <x v="172"/>
    <s v="Senior Developer"/>
    <x v="0"/>
    <x v="0"/>
    <x v="1"/>
    <s v="Stephen Rennell"/>
    <x v="5"/>
    <m/>
    <m/>
    <m/>
    <m/>
    <m/>
    <m/>
    <m/>
    <x v="0"/>
    <s v="FT"/>
    <n v="1"/>
    <x v="0"/>
  </r>
  <r>
    <n v="756"/>
    <s v=" Senavirathne"/>
    <s v=" Iroshini"/>
    <x v="173"/>
    <s v="Test Analyst"/>
    <x v="0"/>
    <x v="4"/>
    <x v="1"/>
    <s v="Joe Krinkel"/>
    <x v="5"/>
    <m/>
    <m/>
    <m/>
    <m/>
    <m/>
    <m/>
    <m/>
    <x v="0"/>
    <s v="FT"/>
    <n v="1"/>
    <x v="0"/>
  </r>
  <r>
    <n v="757"/>
    <s v="Clarke"/>
    <s v="Mick"/>
    <x v="173"/>
    <s v="AI Consultant"/>
    <x v="0"/>
    <x v="0"/>
    <x v="0"/>
    <s v="Julian Virtue"/>
    <x v="6"/>
    <m/>
    <m/>
    <m/>
    <m/>
    <m/>
    <m/>
    <s v="Contractor hourly rate"/>
    <x v="0"/>
    <s v="FT"/>
    <n v="1"/>
    <x v="1"/>
  </r>
  <r>
    <m/>
    <s v="Hamilton "/>
    <s v="Stuart"/>
    <x v="174"/>
    <s v="Tax Advisory Consultant "/>
    <x v="2"/>
    <x v="8"/>
    <x v="7"/>
    <s v="Evan Wilson"/>
    <x v="12"/>
    <m/>
    <m/>
    <m/>
    <m/>
    <m/>
    <m/>
    <s v="Hourly rate Contractor – up to 20hours per week.  End date 17 October.  "/>
    <x v="0"/>
    <s v="PT"/>
    <n v="0.5"/>
    <x v="1"/>
  </r>
  <r>
    <n v="755"/>
    <s v="Mitas"/>
    <s v="Marios"/>
    <x v="175"/>
    <s v="Software Developer"/>
    <x v="4"/>
    <x v="0"/>
    <x v="0"/>
    <s v="Tim Claridge"/>
    <x v="3"/>
    <m/>
    <m/>
    <m/>
    <m/>
    <m/>
    <m/>
    <m/>
    <x v="0"/>
    <s v="FT"/>
    <n v="1"/>
    <x v="0"/>
  </r>
  <r>
    <m/>
    <s v="Small"/>
    <s v="Harry"/>
    <x v="175"/>
    <s v="Senior Developer"/>
    <x v="0"/>
    <x v="0"/>
    <x v="1"/>
    <s v="Stephen Rennell"/>
    <x v="5"/>
    <m/>
    <m/>
    <m/>
    <m/>
    <m/>
    <m/>
    <m/>
    <x v="0"/>
    <s v="FT"/>
    <n v="1"/>
    <x v="0"/>
  </r>
  <r>
    <m/>
    <s v="Wilson"/>
    <s v="Graham"/>
    <x v="176"/>
    <s v="Information Management Consultant   "/>
    <x v="0"/>
    <x v="8"/>
    <x v="6"/>
    <s v="Rebecca Proffitt"/>
    <x v="31"/>
    <m/>
    <m/>
    <m/>
    <m/>
    <m/>
    <m/>
    <s v="Independent Contractor – hourly rate – not using TimeTorque – he will invoice us_x000a_For approximately 3 months – up to 150 hours – 8-16 hours a week "/>
    <x v="0"/>
    <m/>
    <n v="0.3"/>
    <x v="1"/>
  </r>
  <r>
    <m/>
    <s v="Moqeem"/>
    <s v="Aasia "/>
    <x v="177"/>
    <s v="Senior Test  &amp; Automation Analyst"/>
    <x v="3"/>
    <x v="4"/>
    <x v="2"/>
    <s v="Criag Nicol"/>
    <x v="2"/>
    <m/>
    <m/>
    <m/>
    <m/>
    <m/>
    <m/>
    <s v="Backfill for Craif N while backfilling for Cali. Contractor through Planit.  Full time for 6 months to 27th Feb 2026"/>
    <x v="0"/>
    <s v="FT"/>
    <n v="1"/>
    <x v="1"/>
  </r>
  <r>
    <m/>
    <s v="Desai"/>
    <s v="Vedant"/>
    <x v="177"/>
    <s v="Data &amp; AI Intern"/>
    <x v="0"/>
    <x v="0"/>
    <x v="6"/>
    <s v="Sarah Woods"/>
    <x v="5"/>
    <m/>
    <m/>
    <m/>
    <m/>
    <m/>
    <m/>
    <s v="Fixed term, 37.5h/week for 10 weeks (last day is 14 November)"/>
    <x v="0"/>
    <m/>
    <m/>
    <x v="0"/>
  </r>
  <r>
    <m/>
    <s v="Wu"/>
    <s v="Tong"/>
    <x v="177"/>
    <s v="Data &amp; AI Intern"/>
    <x v="0"/>
    <x v="0"/>
    <x v="6"/>
    <s v="Sarah Woods"/>
    <x v="5"/>
    <m/>
    <m/>
    <m/>
    <m/>
    <m/>
    <m/>
    <s v="Fixed term, 37.5h/week for 10 weeks (last day is 14 November)"/>
    <x v="0"/>
    <m/>
    <m/>
    <x v="0"/>
  </r>
  <r>
    <m/>
    <s v="Beech "/>
    <s v="Datu"/>
    <x v="177"/>
    <s v="Data &amp; AI Intern"/>
    <x v="0"/>
    <x v="0"/>
    <x v="6"/>
    <s v="Sarah Woods"/>
    <x v="5"/>
    <m/>
    <m/>
    <m/>
    <m/>
    <m/>
    <m/>
    <s v="Fixed term, 37.5h/week for 10 weeks (last day is 14 November)"/>
    <x v="0"/>
    <m/>
    <m/>
    <x v="0"/>
  </r>
  <r>
    <m/>
    <s v="Parekh"/>
    <s v="Samir"/>
    <x v="178"/>
    <s v="Technical Architect   "/>
    <x v="0"/>
    <x v="0"/>
    <x v="7"/>
    <s v="Evan Wilson"/>
    <x v="12"/>
    <m/>
    <m/>
    <m/>
    <m/>
    <m/>
    <m/>
    <s v="Independent Contractor – hourly rate – will be using TimeTorque_x000a_For 6 months – up to 8 hours a week – to 6 March (probably 13 March seeing as he is starting a week late)"/>
    <x v="0"/>
    <m/>
    <n v="0.2"/>
    <x v="1"/>
  </r>
  <r>
    <n v="758"/>
    <s v="Jeyes"/>
    <s v="Michael"/>
    <x v="179"/>
    <s v="Test Lead"/>
    <x v="0"/>
    <x v="4"/>
    <x v="0"/>
    <s v="Chris Morton"/>
    <x v="6"/>
    <m/>
    <m/>
    <m/>
    <m/>
    <m/>
    <m/>
    <m/>
    <x v="0"/>
    <s v="FT"/>
    <n v="1"/>
    <x v="0"/>
  </r>
  <r>
    <m/>
    <s v="Goucher"/>
    <s v="Kyle"/>
    <x v="180"/>
    <s v="Technical Lead"/>
    <x v="0"/>
    <x v="0"/>
    <x v="2"/>
    <s v="Brendon Tribe "/>
    <x v="2"/>
    <m/>
    <m/>
    <m/>
    <m/>
    <m/>
    <m/>
    <s v="Backfill for Tobias"/>
    <x v="0"/>
    <s v="FT"/>
    <n v="1"/>
    <x v="0"/>
  </r>
  <r>
    <m/>
    <s v="Hansen"/>
    <s v="Andrew"/>
    <x v="181"/>
    <s v="Head of Emerging Products"/>
    <x v="0"/>
    <x v="21"/>
    <x v="2"/>
    <s v="Mark Morgan"/>
    <x v="5"/>
    <m/>
    <m/>
    <m/>
    <m/>
    <m/>
    <m/>
    <s v="From Flick"/>
    <x v="0"/>
    <s v="FT"/>
    <n v="1"/>
    <x v="0"/>
  </r>
  <r>
    <m/>
    <s v="Whyte"/>
    <s v="Fergus"/>
    <x v="181"/>
    <s v="Principal Engineer"/>
    <x v="0"/>
    <x v="0"/>
    <x v="2"/>
    <s v="Andy Hansen"/>
    <x v="32"/>
    <m/>
    <m/>
    <m/>
    <m/>
    <m/>
    <m/>
    <s v="From Flick"/>
    <x v="0"/>
    <s v="FT"/>
    <n v="1"/>
    <x v="0"/>
  </r>
  <r>
    <m/>
    <s v="Branet"/>
    <s v="Paul"/>
    <x v="181"/>
    <s v="Senior Developer"/>
    <x v="0"/>
    <x v="0"/>
    <x v="2"/>
    <s v="Andy Hansen"/>
    <x v="5"/>
    <m/>
    <m/>
    <m/>
    <m/>
    <m/>
    <m/>
    <s v="From Flick"/>
    <x v="0"/>
    <s v="FT"/>
    <n v="1"/>
    <x v="0"/>
  </r>
  <r>
    <m/>
    <s v="Ullah"/>
    <s v="Monzoor"/>
    <x v="182"/>
    <s v="Business Analyst"/>
    <x v="2"/>
    <x v="9"/>
    <x v="0"/>
    <s v="Rob Dongol"/>
    <x v="3"/>
    <m/>
    <m/>
    <m/>
    <m/>
    <m/>
    <m/>
    <s v="Working from home or on the client site"/>
    <x v="0"/>
    <s v="FT"/>
    <n v="1"/>
    <x v="0"/>
  </r>
  <r>
    <m/>
    <m/>
    <m/>
    <x v="183"/>
    <s v="Sales Co-ordinator"/>
    <x v="5"/>
    <x v="21"/>
    <x v="3"/>
    <m/>
    <x v="5"/>
    <m/>
    <m/>
    <m/>
    <m/>
    <m/>
    <m/>
    <m/>
    <x v="0"/>
    <s v="FT"/>
    <n v="1"/>
    <x v="0"/>
  </r>
  <r>
    <m/>
    <m/>
    <m/>
    <x v="183"/>
    <s v="Marketing Specialist"/>
    <x v="5"/>
    <x v="21"/>
    <x v="3"/>
    <m/>
    <x v="5"/>
    <m/>
    <m/>
    <m/>
    <m/>
    <m/>
    <m/>
    <m/>
    <x v="0"/>
    <s v="FT"/>
    <n v="1"/>
    <x v="0"/>
  </r>
  <r>
    <m/>
    <m/>
    <m/>
    <x v="183"/>
    <s v="People and Culture Advisor"/>
    <x v="5"/>
    <x v="21"/>
    <x v="6"/>
    <m/>
    <x v="5"/>
    <m/>
    <m/>
    <m/>
    <m/>
    <m/>
    <m/>
    <m/>
    <x v="0"/>
    <s v="FT"/>
    <n v="1"/>
    <x v="0"/>
  </r>
  <r>
    <m/>
    <m/>
    <m/>
    <x v="183"/>
    <s v="Data Engineer"/>
    <x v="5"/>
    <x v="21"/>
    <x v="7"/>
    <m/>
    <x v="5"/>
    <m/>
    <m/>
    <m/>
    <m/>
    <m/>
    <m/>
    <m/>
    <x v="0"/>
    <s v="FT"/>
    <n v="1"/>
    <x v="0"/>
  </r>
  <r>
    <m/>
    <m/>
    <s v="Lynette"/>
    <x v="183"/>
    <s v="Contractor"/>
    <x v="5"/>
    <x v="21"/>
    <x v="7"/>
    <m/>
    <x v="5"/>
    <m/>
    <m/>
    <m/>
    <m/>
    <m/>
    <m/>
    <m/>
    <x v="0"/>
    <s v="PT"/>
    <n v="0.5"/>
    <x v="1"/>
  </r>
  <r>
    <m/>
    <m/>
    <s v="Phil"/>
    <x v="183"/>
    <s v="Contractor"/>
    <x v="5"/>
    <x v="21"/>
    <x v="7"/>
    <m/>
    <x v="5"/>
    <m/>
    <m/>
    <m/>
    <m/>
    <m/>
    <m/>
    <m/>
    <x v="0"/>
    <s v="PT"/>
    <n v="0.5"/>
    <x v="1"/>
  </r>
  <r>
    <m/>
    <m/>
    <m/>
    <x v="183"/>
    <s v="Tester"/>
    <x v="5"/>
    <x v="21"/>
    <x v="0"/>
    <m/>
    <x v="3"/>
    <m/>
    <m/>
    <m/>
    <m/>
    <m/>
    <m/>
    <m/>
    <x v="0"/>
    <s v="FT"/>
    <n v="1"/>
    <x v="0"/>
  </r>
  <r>
    <m/>
    <m/>
    <m/>
    <x v="183"/>
    <s v="Developer"/>
    <x v="5"/>
    <x v="21"/>
    <x v="0"/>
    <m/>
    <x v="3"/>
    <m/>
    <m/>
    <m/>
    <m/>
    <m/>
    <m/>
    <m/>
    <x v="0"/>
    <s v="FT"/>
    <n v="1"/>
    <x v="0"/>
  </r>
  <r>
    <m/>
    <m/>
    <m/>
    <x v="183"/>
    <s v="Deveveloper"/>
    <x v="5"/>
    <x v="21"/>
    <x v="0"/>
    <m/>
    <x v="6"/>
    <m/>
    <m/>
    <m/>
    <m/>
    <m/>
    <m/>
    <m/>
    <x v="0"/>
    <s v="FT"/>
    <n v="1"/>
    <x v="0"/>
  </r>
  <r>
    <m/>
    <m/>
    <m/>
    <x v="183"/>
    <s v="Project Manger"/>
    <x v="5"/>
    <x v="21"/>
    <x v="1"/>
    <m/>
    <x v="5"/>
    <m/>
    <m/>
    <m/>
    <m/>
    <m/>
    <m/>
    <m/>
    <x v="0"/>
    <s v="FT"/>
    <n v="1"/>
    <x v="0"/>
  </r>
  <r>
    <m/>
    <m/>
    <m/>
    <x v="183"/>
    <s v="Head of Client"/>
    <x v="5"/>
    <x v="21"/>
    <x v="1"/>
    <m/>
    <x v="5"/>
    <m/>
    <m/>
    <m/>
    <m/>
    <m/>
    <m/>
    <m/>
    <x v="0"/>
    <s v="FT"/>
    <n v="1"/>
    <x v="0"/>
  </r>
  <r>
    <m/>
    <m/>
    <m/>
    <x v="183"/>
    <s v="Technical Lead "/>
    <x v="5"/>
    <x v="21"/>
    <x v="1"/>
    <m/>
    <x v="5"/>
    <m/>
    <m/>
    <m/>
    <m/>
    <m/>
    <m/>
    <s v="Backfill for Leandro "/>
    <x v="0"/>
    <s v="FT"/>
    <n v="1"/>
    <x v="0"/>
  </r>
  <r>
    <m/>
    <m/>
    <m/>
    <x v="183"/>
    <s v="Developer"/>
    <x v="5"/>
    <x v="21"/>
    <x v="2"/>
    <m/>
    <x v="5"/>
    <m/>
    <m/>
    <m/>
    <m/>
    <m/>
    <m/>
    <s v="Backfill for Gonzalo"/>
    <x v="0"/>
    <s v="FT"/>
    <n v="1"/>
    <x v="0"/>
  </r>
  <r>
    <m/>
    <m/>
    <m/>
    <x v="183"/>
    <s v="Head of Infrastructure and Automation"/>
    <x v="5"/>
    <x v="21"/>
    <x v="2"/>
    <m/>
    <x v="5"/>
    <m/>
    <m/>
    <m/>
    <m/>
    <m/>
    <m/>
    <s v="Backfill for Aidan"/>
    <x v="0"/>
    <s v="FT"/>
    <n v="1"/>
    <x v="0"/>
  </r>
  <r>
    <m/>
    <m/>
    <s v="Lachlan"/>
    <x v="183"/>
    <s v="Head of Product Design"/>
    <x v="5"/>
    <x v="21"/>
    <x v="2"/>
    <m/>
    <x v="5"/>
    <m/>
    <m/>
    <m/>
    <m/>
    <m/>
    <m/>
    <s v="From Flick"/>
    <x v="0"/>
    <s v="FT"/>
    <n v="1"/>
    <x v="0"/>
  </r>
  <r>
    <m/>
    <m/>
    <m/>
    <x v="183"/>
    <s v="Senior Developer"/>
    <x v="5"/>
    <x v="21"/>
    <x v="2"/>
    <m/>
    <x v="5"/>
    <m/>
    <m/>
    <m/>
    <m/>
    <m/>
    <m/>
    <m/>
    <x v="0"/>
    <s v="FT"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  <r>
    <m/>
    <m/>
    <m/>
    <x v="183"/>
    <m/>
    <x v="5"/>
    <x v="21"/>
    <x v="10"/>
    <m/>
    <x v="5"/>
    <m/>
    <m/>
    <m/>
    <m/>
    <m/>
    <m/>
    <m/>
    <x v="0"/>
    <m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B0489-267B-47D0-89DD-BFD6670A6233}" name="Table1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1:H41" firstHeaderRow="1" firstDataRow="2" firstDataCol="1" rowPageCount="1" colPageCount="1"/>
  <pivotFields count="21">
    <pivotField dataField="1" showAll="0"/>
    <pivotField showAll="0"/>
    <pivotField showAll="0"/>
    <pivotField numFmtId="14" showAll="0"/>
    <pivotField showAll="0"/>
    <pivotField axis="axisCol" showAll="0">
      <items count="8">
        <item x="4"/>
        <item x="1"/>
        <item x="0"/>
        <item m="1" x="6"/>
        <item x="2"/>
        <item x="3"/>
        <item x="5"/>
        <item t="default"/>
      </items>
    </pivotField>
    <pivotField showAll="0"/>
    <pivotField axis="axisRow" showAll="0">
      <items count="13">
        <item x="1"/>
        <item x="4"/>
        <item x="8"/>
        <item x="5"/>
        <item x="2"/>
        <item x="0"/>
        <item n="Shared Services" m="1" x="11"/>
        <item x="3"/>
        <item n="Shared Services2" x="6"/>
        <item x="7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8">
        <item x="24"/>
        <item x="19"/>
        <item x="30"/>
        <item x="31"/>
        <item x="33"/>
        <item x="22"/>
        <item x="26"/>
        <item x="13"/>
        <item x="11"/>
        <item x="12"/>
        <item x="27"/>
        <item x="2"/>
        <item x="34"/>
        <item x="20"/>
        <item x="32"/>
        <item x="25"/>
        <item x="36"/>
        <item x="6"/>
        <item x="7"/>
        <item x="0"/>
        <item x="3"/>
        <item x="17"/>
        <item x="15"/>
        <item x="18"/>
        <item x="23"/>
        <item x="29"/>
        <item x="28"/>
        <item x="1"/>
        <item x="4"/>
        <item x="5"/>
        <item x="8"/>
        <item x="9"/>
        <item x="10"/>
        <item x="14"/>
        <item x="16"/>
        <item x="21"/>
        <item x="35"/>
        <item t="default"/>
      </items>
    </pivotField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4"/>
    </i>
    <i>
      <x v="5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7">
    <i>
      <x/>
    </i>
    <i>
      <x v="1"/>
    </i>
    <i>
      <x v="2"/>
    </i>
    <i>
      <x v="4"/>
    </i>
    <i>
      <x v="5"/>
    </i>
    <i>
      <x v="6"/>
    </i>
    <i t="grand">
      <x/>
    </i>
  </colItems>
  <pageFields count="1">
    <pageField fld="17" item="19" hier="-1"/>
  </pageFields>
  <dataFields count="1">
    <dataField name="Count of Employee ID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1AC09-4988-421B-B1D2-F7431D9EF88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6" firstHeaderRow="1" firstDataRow="1" firstDataCol="1" rowPageCount="4" colPageCount="1"/>
  <pivotFields count="21">
    <pivotField dataField="1" showAll="0"/>
    <pivotField showAll="0"/>
    <pivotField showAll="0"/>
    <pivotField numFmtId="14" showAll="0"/>
    <pivotField showAll="0"/>
    <pivotField showAll="0"/>
    <pivotField axis="axisRow" showAll="0">
      <items count="36">
        <item x="22"/>
        <item x="9"/>
        <item x="17"/>
        <item m="1" x="31"/>
        <item x="8"/>
        <item x="0"/>
        <item x="6"/>
        <item x="1"/>
        <item x="11"/>
        <item x="10"/>
        <item x="19"/>
        <item m="1" x="30"/>
        <item x="5"/>
        <item m="1" x="27"/>
        <item x="13"/>
        <item m="1" x="29"/>
        <item x="3"/>
        <item x="16"/>
        <item x="14"/>
        <item x="18"/>
        <item x="15"/>
        <item x="24"/>
        <item m="1" x="26"/>
        <item m="1" x="28"/>
        <item m="1" x="34"/>
        <item m="1" x="32"/>
        <item x="7"/>
        <item m="1" x="33"/>
        <item x="4"/>
        <item x="23"/>
        <item x="21"/>
        <item x="12"/>
        <item x="20"/>
        <item x="25"/>
        <item x="2"/>
        <item t="default"/>
      </items>
    </pivotField>
    <pivotField axis="axisPage" multipleItemSelectionAllowed="1" showAll="0">
      <items count="13">
        <item x="1"/>
        <item x="4"/>
        <item h="1" x="8"/>
        <item h="1" x="5"/>
        <item x="2"/>
        <item x="0"/>
        <item h="1" m="1" x="11"/>
        <item h="1" x="3"/>
        <item h="1" x="6"/>
        <item h="1" x="7"/>
        <item h="1" x="9"/>
        <item h="1" x="10"/>
        <item t="default"/>
      </items>
    </pivotField>
    <pivotField showAll="0"/>
    <pivotField axis="axisPage" multipleItemSelectionAllowed="1" showAll="0">
      <items count="36">
        <item h="1" x="24"/>
        <item x="6"/>
        <item x="27"/>
        <item x="11"/>
        <item x="3"/>
        <item x="4"/>
        <item x="13"/>
        <item x="29"/>
        <item x="12"/>
        <item x="23"/>
        <item x="19"/>
        <item x="22"/>
        <item x="14"/>
        <item h="1" x="30"/>
        <item m="1" x="33"/>
        <item h="1" x="16"/>
        <item m="1" x="34"/>
        <item h="1" x="1"/>
        <item x="32"/>
        <item x="0"/>
        <item h="1" x="9"/>
        <item h="1" x="25"/>
        <item h="1" x="31"/>
        <item x="7"/>
        <item h="1" x="15"/>
        <item x="2"/>
        <item h="1" x="8"/>
        <item h="1" x="20"/>
        <item h="1" x="28"/>
        <item x="18"/>
        <item h="1" x="10"/>
        <item h="1" x="21"/>
        <item h="1" x="26"/>
        <item h="1" x="1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8">
        <item h="1" x="24"/>
        <item h="1" x="19"/>
        <item h="1" x="30"/>
        <item h="1" x="31"/>
        <item h="1" x="33"/>
        <item h="1" x="22"/>
        <item h="1" x="26"/>
        <item h="1" x="13"/>
        <item h="1" x="11"/>
        <item h="1" x="12"/>
        <item h="1" x="27"/>
        <item h="1" x="2"/>
        <item h="1" x="34"/>
        <item h="1" x="20"/>
        <item h="1" x="32"/>
        <item h="1" x="25"/>
        <item h="1" x="36"/>
        <item h="1" x="6"/>
        <item h="1" x="7"/>
        <item h="1" x="28"/>
        <item h="1" x="23"/>
        <item h="1" x="3"/>
        <item h="1" x="15"/>
        <item h="1" x="29"/>
        <item h="1" x="17"/>
        <item h="1" x="18"/>
        <item x="0"/>
        <item h="1" x="1"/>
        <item h="1" x="4"/>
        <item h="1" x="5"/>
        <item h="1" x="8"/>
        <item h="1" x="9"/>
        <item h="1" x="10"/>
        <item h="1" x="14"/>
        <item h="1" x="16"/>
        <item h="1" x="21"/>
        <item h="1" x="35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6"/>
  </rowFields>
  <rowItems count="10">
    <i>
      <x v="1"/>
    </i>
    <i>
      <x v="4"/>
    </i>
    <i>
      <x v="5"/>
    </i>
    <i>
      <x v="7"/>
    </i>
    <i>
      <x v="20"/>
    </i>
    <i>
      <x v="28"/>
    </i>
    <i>
      <x v="29"/>
    </i>
    <i>
      <x v="30"/>
    </i>
    <i>
      <x v="34"/>
    </i>
    <i t="grand">
      <x/>
    </i>
  </rowItems>
  <colItems count="1">
    <i/>
  </colItems>
  <pageFields count="4">
    <pageField fld="17" hier="-1"/>
    <pageField fld="20" item="1" hier="-1"/>
    <pageField fld="7" hier="-1"/>
    <pageField fld="9" hier="-1"/>
  </pageFields>
  <dataFields count="1">
    <dataField name="Count of Employee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3143D-986A-423A-B687-91E01D4BF3D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65" firstHeaderRow="1" firstDataRow="1" firstDataCol="1" rowPageCount="2" colPageCount="1"/>
  <pivotFields count="21">
    <pivotField dataField="1" showAll="0"/>
    <pivotField showAll="0"/>
    <pivotField showAll="0"/>
    <pivotField axis="axisPage" numFmtId="14" showAll="0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9"/>
        <item x="158"/>
        <item x="160"/>
        <item x="161"/>
        <item x="162"/>
        <item x="163"/>
        <item x="13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showAll="0"/>
    <pivotField showAll="0"/>
    <pivotField showAll="0"/>
    <pivotField axis="axisRow" showAll="0">
      <items count="13">
        <item x="1"/>
        <item x="4"/>
        <item x="8"/>
        <item x="5"/>
        <item x="2"/>
        <item x="0"/>
        <item m="1" x="11"/>
        <item x="3"/>
        <item x="6"/>
        <item x="7"/>
        <item x="9"/>
        <item x="10"/>
        <item t="default"/>
      </items>
    </pivotField>
    <pivotField showAll="0"/>
    <pivotField axis="axisRow" showAll="0">
      <items count="36">
        <item x="24"/>
        <item x="6"/>
        <item x="27"/>
        <item x="11"/>
        <item x="3"/>
        <item x="4"/>
        <item x="13"/>
        <item x="29"/>
        <item x="23"/>
        <item x="19"/>
        <item x="14"/>
        <item m="1" x="33"/>
        <item x="16"/>
        <item m="1" x="34"/>
        <item x="1"/>
        <item x="0"/>
        <item x="9"/>
        <item x="25"/>
        <item x="7"/>
        <item x="15"/>
        <item x="2"/>
        <item x="8"/>
        <item x="20"/>
        <item x="28"/>
        <item x="18"/>
        <item x="10"/>
        <item x="21"/>
        <item x="26"/>
        <item x="17"/>
        <item x="5"/>
        <item x="22"/>
        <item x="12"/>
        <item x="30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8">
        <item x="24"/>
        <item x="19"/>
        <item x="30"/>
        <item x="31"/>
        <item x="33"/>
        <item x="22"/>
        <item x="26"/>
        <item x="13"/>
        <item x="11"/>
        <item x="12"/>
        <item x="27"/>
        <item x="2"/>
        <item x="34"/>
        <item x="20"/>
        <item x="32"/>
        <item x="25"/>
        <item x="36"/>
        <item x="6"/>
        <item x="7"/>
        <item x="0"/>
        <item x="3"/>
        <item x="17"/>
        <item x="15"/>
        <item x="18"/>
        <item x="23"/>
        <item x="29"/>
        <item x="28"/>
        <item x="1"/>
        <item x="4"/>
        <item x="5"/>
        <item x="8"/>
        <item x="9"/>
        <item x="10"/>
        <item x="14"/>
        <item x="16"/>
        <item x="21"/>
        <item x="35"/>
        <item t="default"/>
      </items>
    </pivotField>
    <pivotField showAll="0"/>
    <pivotField showAll="0"/>
    <pivotField showAll="0"/>
  </pivotFields>
  <rowFields count="2">
    <field x="7"/>
    <field x="9"/>
  </rowFields>
  <rowItems count="58">
    <i>
      <x/>
    </i>
    <i r="1">
      <x v="2"/>
    </i>
    <i r="1">
      <x v="5"/>
    </i>
    <i r="1">
      <x v="6"/>
    </i>
    <i r="1">
      <x v="7"/>
    </i>
    <i r="1">
      <x v="8"/>
    </i>
    <i r="1">
      <x v="9"/>
    </i>
    <i r="1">
      <x v="29"/>
    </i>
    <i r="1">
      <x v="30"/>
    </i>
    <i>
      <x v="1"/>
    </i>
    <i r="1">
      <x v="7"/>
    </i>
    <i r="1">
      <x v="9"/>
    </i>
    <i r="1">
      <x v="10"/>
    </i>
    <i r="1">
      <x v="14"/>
    </i>
    <i r="1">
      <x v="24"/>
    </i>
    <i>
      <x v="2"/>
    </i>
    <i r="1">
      <x v="12"/>
    </i>
    <i>
      <x v="4"/>
    </i>
    <i r="1">
      <x/>
    </i>
    <i r="1">
      <x v="14"/>
    </i>
    <i r="1">
      <x v="17"/>
    </i>
    <i r="1">
      <x v="18"/>
    </i>
    <i r="1">
      <x v="20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2"/>
    </i>
    <i r="1">
      <x v="34"/>
    </i>
    <i>
      <x v="5"/>
    </i>
    <i r="1">
      <x v="1"/>
    </i>
    <i r="1">
      <x v="3"/>
    </i>
    <i r="1">
      <x v="4"/>
    </i>
    <i r="1">
      <x v="15"/>
    </i>
    <i>
      <x v="7"/>
    </i>
    <i r="1">
      <x v="8"/>
    </i>
    <i r="1">
      <x v="14"/>
    </i>
    <i r="1">
      <x v="22"/>
    </i>
    <i r="1">
      <x v="29"/>
    </i>
    <i>
      <x v="8"/>
    </i>
    <i r="1">
      <x v="14"/>
    </i>
    <i r="1">
      <x v="16"/>
    </i>
    <i r="1">
      <x v="19"/>
    </i>
    <i r="1">
      <x v="21"/>
    </i>
    <i r="1">
      <x v="23"/>
    </i>
    <i r="1">
      <x v="29"/>
    </i>
    <i r="1">
      <x v="33"/>
    </i>
    <i>
      <x v="9"/>
    </i>
    <i r="1">
      <x v="22"/>
    </i>
    <i r="1">
      <x v="29"/>
    </i>
    <i r="1">
      <x v="31"/>
    </i>
    <i>
      <x v="10"/>
    </i>
    <i r="1">
      <x v="14"/>
    </i>
    <i>
      <x v="11"/>
    </i>
    <i r="1">
      <x v="29"/>
    </i>
    <i t="grand">
      <x/>
    </i>
  </rowItems>
  <colItems count="1">
    <i/>
  </colItems>
  <pageFields count="2">
    <pageField fld="17" item="19" hier="-1"/>
    <pageField fld="3" hier="-1"/>
  </pageFields>
  <dataFields count="1">
    <dataField name="Count of Employee ID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A07C485-F35A-430E-8F02-2B753334DB20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EmployeeID" tableColumnId="1"/>
      <queryTableField id="2" name="LastName" tableColumnId="2"/>
      <queryTableField id="3" name="FirstName" tableColumnId="3"/>
      <queryTableField id="4" name="JobTitle" tableColumnId="4"/>
      <queryTableField id="5" dataBound="0" tableColumnId="5"/>
      <queryTableField id="6" dataBound="0" tableColumnId="6"/>
    </queryTableFields>
  </queryTableRefresh>
</queryTable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39118B7-4B2D-41E8-B7C3-FCE5D291A00E}" name="Table11" displayName="Table11" ref="B7:C16" totalsRowShown="0" headerRowBorderDxfId="540" tableBorderDxfId="539" totalsRowBorderDxfId="538">
  <autoFilter ref="B7:C16" xr:uid="{A39118B7-4B2D-41E8-B7C3-FCE5D291A00E}"/>
  <tableColumns count="2">
    <tableColumn id="1" xr3:uid="{B4DAC065-69DB-4EF0-9CBF-33A961D39D2B}" name="Business Unit" dataDxfId="537" totalsRowDxfId="536" dataCellStyle="Normal 3 2" totalsRowCellStyle="Normal 3 2"/>
    <tableColumn id="2" xr3:uid="{4DF5AD21-95A7-4ABB-8BF5-1C481A0CD22F}" name="Headcount" dataDxfId="535" totalsRowDxfId="534" dataCellStyle="Normal 3 2" totalsRowCellStyle="Comma 2">
      <calculatedColumnFormula>COUNTIFS('Regional allocations LIVE'!$H:$H,Summary!B8,'Regional allocations LIVE'!$D:$D, "&lt;=" &amp; EOMONTH(TODAY(),-1))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0AE1970-3C08-4784-8B44-5B33BBB79401}" name="Table12" displayName="Table12" ref="B19:C24" totalsRowShown="0" headerRowBorderDxfId="533" tableBorderDxfId="532" totalsRowBorderDxfId="531">
  <autoFilter ref="B19:C24" xr:uid="{D0AE1970-3C08-4784-8B44-5B33BBB79401}"/>
  <tableColumns count="2">
    <tableColumn id="1" xr3:uid="{89B1FFE7-51CD-447B-A8C4-C15868CB49E9}" name="Office" dataDxfId="530" dataCellStyle="Normal 3 2"/>
    <tableColumn id="2" xr3:uid="{3C615137-B803-49FC-8ED4-BE15CF5FDCC9}" name="Headcount" dataDxfId="529" dataCellStyle="Normal 3 2">
      <calculatedColumnFormula>COUNTIFS(Table17[Leaving Date], "", Table17[Office], Table12[[#This Row],[Office]])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8138735-23B9-408D-B20F-8CDF124FF689}" name="Table1116" displayName="Table1116" ref="H7:O16" totalsRowShown="0" headerRowDxfId="528" headerRowBorderDxfId="527" tableBorderDxfId="526" totalsRowBorderDxfId="525" headerRowCellStyle="Normal 3 2">
  <autoFilter ref="H7:O16" xr:uid="{78138735-23B9-408D-B20F-8CDF124FF689}"/>
  <tableColumns count="8">
    <tableColumn id="1" xr3:uid="{A828481C-D03C-487E-8C7D-1F3A2154D7D2}" name="Business Unit" dataDxfId="524" totalsRowDxfId="523" dataCellStyle="Normal 3 2" totalsRowCellStyle="Normal 3 2"/>
    <tableColumn id="2" xr3:uid="{BAC522BE-81D7-4575-928A-0A37771D4049}" name="Headcount" dataDxfId="522" totalsRowDxfId="521" dataCellStyle="Normal 3 2" totalsRowCellStyle="Comma 2">
      <calculatedColumnFormula>COUNTIFS('Regional allocations LIVE'!$H:$H,Summary!H8,'Regional allocations LIVE'!$D:$D, "&lt;=" &amp; EOMONTH(TODAY(),-1))</calculatedColumnFormula>
    </tableColumn>
    <tableColumn id="6" xr3:uid="{BA0F12F4-E828-4E91-872E-12789F279264}" name="Vaccancies to backfill" dataDxfId="520" totalsRowDxfId="519" dataCellStyle="Normal 3 2" totalsRowCellStyle="Comma 2"/>
    <tableColumn id="4" xr3:uid="{B0489A96-8970-41B2-8180-6B71EC43BC48}" name="Vaccancies for new roles" dataDxfId="518" totalsRowDxfId="517" dataCellStyle="Normal 3 2" totalsRowCellStyle="Comma 2"/>
    <tableColumn id="3" xr3:uid="{28304D1D-DECE-46D1-8685-6418B43CB653}" name="Increase headcount roles TBC" dataDxfId="516" dataCellStyle="Normal 3 2"/>
    <tableColumn id="5" xr3:uid="{6FB4BA10-0800-4FEC-8A67-83F5F5F8B0BD}" name="Contractors" dataDxfId="515" dataCellStyle="Normal 3 2">
      <calculatedColumnFormula>COUNTIFS('Regional allocations LIVE'!H:H,Table1116[[#This Row],[Business Unit]],'Regional allocations LIVE'!U:U,"Y",'Regional allocations LIVE'!R:R,"")</calculatedColumnFormula>
    </tableColumn>
    <tableColumn id="8" xr3:uid="{056067A7-D498-47A2-B5E6-83BEF8586C47}" name="Perm Headcount (minus contractors)" dataDxfId="514" totalsRowDxfId="513" dataCellStyle="Normal 3 2" totalsRowCellStyle="Comma 2">
      <calculatedColumnFormula>Table1116[[#This Row],[Headcount]]-Table1116[[#This Row],[Contractors]]</calculatedColumnFormula>
    </tableColumn>
    <tableColumn id="9" xr3:uid="{EF957C76-4662-4589-89D1-766958101385}" name="Perm with Vaccancies filled" dataDxfId="512" dataCellStyle="Normal 3 2">
      <calculatedColumnFormula>Table1116[[#This Row],[Perm Headcount (minus contractors)]]+Table1116[[#This Row],[Vaccancies to backfill]]+Table1116[[#This Row],[Vaccancies for new roles]]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ED34121-DE09-44B5-A6A0-99238415DD8D}" name="Table13" displayName="Table13" ref="Q39:BD47" totalsRowShown="0" headerRowDxfId="511" dataDxfId="510" tableBorderDxfId="509" headerRowCellStyle="Normal 3 2" dataCellStyle="Normal 3 2">
  <autoFilter ref="Q39:BD47" xr:uid="{7ED34121-DE09-44B5-A6A0-99238415DD8D}"/>
  <tableColumns count="40">
    <tableColumn id="1" xr3:uid="{F8DD5572-76A2-4ADB-A673-A326C77F6EC7}" name="Business Unit" dataDxfId="508" dataCellStyle="Normal 3 2"/>
    <tableColumn id="2" xr3:uid="{E2221CD2-183F-4B06-9AD1-C98687689F24}" name="31/05/2024" dataDxfId="507" dataCellStyle="Normal 3 2"/>
    <tableColumn id="3" xr3:uid="{C59FF52E-1689-45BB-9B7C-364B6766D8AC}" name="30/06/2024" dataDxfId="506" dataCellStyle="Normal 3 2"/>
    <tableColumn id="4" xr3:uid="{D1BF6809-D42C-45FF-9C19-6FFFCADD5739}" name="31/07/2024" dataDxfId="505" dataCellStyle="Normal 3 2"/>
    <tableColumn id="5" xr3:uid="{8A351E96-7063-44A5-AEF0-30446BC81C59}" name="31/08/2024" dataDxfId="504" dataCellStyle="Normal 3 2"/>
    <tableColumn id="6" xr3:uid="{09B51910-482F-4557-9B64-E0FCC5282702}" name="30/09/2024" dataDxfId="503" dataCellStyle="Normal 3 2"/>
    <tableColumn id="7" xr3:uid="{263BC1D4-9644-4387-9F36-0950F77C26CF}" name="31/10/2024" dataDxfId="502" dataCellStyle="Normal 3 2"/>
    <tableColumn id="8" xr3:uid="{2F4AAEA3-CA86-4A47-8939-913B321768ED}" name="30/11/2024" dataDxfId="501" dataCellStyle="Normal 3 2"/>
    <tableColumn id="9" xr3:uid="{110A4B8D-75E7-4853-9D1F-CB3C82CF7679}" name="31/12/2024" dataDxfId="500" dataCellStyle="Normal 3 2"/>
    <tableColumn id="10" xr3:uid="{93333BCD-19A3-450A-B52E-FEF3CBCA748C}" name="30/01/2025" dataDxfId="499" dataCellStyle="Normal 3 2"/>
    <tableColumn id="11" xr3:uid="{9347507E-F39E-4E01-9F14-32C42E1BF3AB}" name="28/02/2025" dataDxfId="498" dataCellStyle="Normal 3 2">
      <calculatedColumnFormula>$R29+SUM(S18:AA18)-SUM(S6:AA6)+SUM(S29:AA29)</calculatedColumnFormula>
    </tableColumn>
    <tableColumn id="12" xr3:uid="{30EB3102-7BA2-4D04-B791-9C7F1B5DABB3}" name="31/03/2025" dataDxfId="497" dataCellStyle="Normal 3 2">
      <calculatedColumnFormula>$R29+SUM(S18:AB18)-SUM(S6:AB6)+SUM(S29:AB29)</calculatedColumnFormula>
    </tableColumn>
    <tableColumn id="13" xr3:uid="{C9AE26F7-C646-4DF5-855C-CC0D6600DDA7}" name="30/04/2025" dataDxfId="496" dataCellStyle="Normal 3 2">
      <calculatedColumnFormula>$R29+SUM(S18:AC18)-SUM(S6:AC6)+SUM(S29:AC29)</calculatedColumnFormula>
    </tableColumn>
    <tableColumn id="14" xr3:uid="{42FA1965-196E-49E8-8B97-A58947FE8D23}" name="31/05/2025" dataDxfId="495" dataCellStyle="Normal 3 2">
      <calculatedColumnFormula>$R29+SUM(S18:AD18)-SUM(S6:AD6)+SUM(S29:AD29)</calculatedColumnFormula>
    </tableColumn>
    <tableColumn id="15" xr3:uid="{732B92AE-9479-4861-881B-FC3B0256281F}" name="30/06/2025" dataDxfId="494" dataCellStyle="Normal 3 2">
      <calculatedColumnFormula>$R29+SUM(S18:AE18)-SUM(S6:AE6)+SUM(S29:AE29)</calculatedColumnFormula>
    </tableColumn>
    <tableColumn id="16" xr3:uid="{7E2F6C5C-6CBB-4A79-BB5D-17BDA9CF52D2}" name="31/07/2025" dataDxfId="493" dataCellStyle="Normal 3 2"/>
    <tableColumn id="17" xr3:uid="{07D4F866-9A8E-44F4-9480-22A3BBEF0AA0}" name="31/08/2025" dataDxfId="492" dataCellStyle="Normal 3 2">
      <calculatedColumnFormula>Table13[[#This Row],[30/06/2025]]+SUM(AF18:AG18)+SUM(AF29:AG29)</calculatedColumnFormula>
    </tableColumn>
    <tableColumn id="18" xr3:uid="{D4984A3E-12D0-41D3-94FD-22DF8BF17DAE}" name="30/09/2025" dataDxfId="491" dataCellStyle="Normal 3 2"/>
    <tableColumn id="19" xr3:uid="{637B4AF9-361E-4095-AF82-A696D4421CA5}" name="31/10/2025" dataDxfId="490" dataCellStyle="Normal 3 2"/>
    <tableColumn id="20" xr3:uid="{AA2F24BC-1BCE-4FE2-9A01-2CDA83ED2EAF}" name="30/11/2025" dataDxfId="489" dataCellStyle="Normal 3 2"/>
    <tableColumn id="21" xr3:uid="{D6E508F4-E175-49A4-A4D9-F0DC3B0630C5}" name="31/12/2025" dataDxfId="488" dataCellStyle="Normal 3 2"/>
    <tableColumn id="22" xr3:uid="{BF5E97AE-F5AE-4C78-AD71-A1E2B7AB47F0}" name="30/01/2026" dataDxfId="487" dataCellStyle="Normal 3 2"/>
    <tableColumn id="23" xr3:uid="{01E5EF83-E766-4945-812C-050ECA01ED9F}" name="28/02/2026" dataDxfId="486" dataCellStyle="Normal 3 2"/>
    <tableColumn id="24" xr3:uid="{12DD6B9B-EB71-4E57-AAF1-85BA7BADC4CE}" name="31/03/2026" dataDxfId="485" dataCellStyle="Normal 3 2"/>
    <tableColumn id="25" xr3:uid="{8C176B70-6F2D-4192-9C9F-BB46C3A4B83B}" name="30/04/2026" dataDxfId="484" dataCellStyle="Normal 3 2"/>
    <tableColumn id="26" xr3:uid="{7892B833-BDB4-4FF5-A962-293263E23CB3}" name="31/05/2026" dataDxfId="483" dataCellStyle="Normal 3 2"/>
    <tableColumn id="27" xr3:uid="{5F01F2F4-936B-4BD4-AFA5-124BBBDDF703}" name="30/06/2026" dataDxfId="482" dataCellStyle="Normal 3 2"/>
    <tableColumn id="28" xr3:uid="{28E78963-0F40-4EC4-BDA5-85467578C43B}" name="31/07/2026" dataDxfId="481" dataCellStyle="Normal 3 2"/>
    <tableColumn id="29" xr3:uid="{1BA03B06-F77F-4FD6-A55D-F080938CE263}" name="31/08/2026" dataDxfId="480" dataCellStyle="Normal 3 2"/>
    <tableColumn id="30" xr3:uid="{507D225C-F67E-4878-9F72-777E4731DBB6}" name="30/09/2026" dataDxfId="479" dataCellStyle="Normal 3 2"/>
    <tableColumn id="31" xr3:uid="{6F41F9DC-7619-4528-812F-24457B837A70}" name="31/10/2026" dataDxfId="478" dataCellStyle="Normal 3 2"/>
    <tableColumn id="32" xr3:uid="{FA2802FF-CD63-41A0-A419-E8D1332836AD}" name="30/11/2026" dataDxfId="477" dataCellStyle="Normal 3 2"/>
    <tableColumn id="33" xr3:uid="{DED9FF24-6000-4754-83CD-5C060CACB0B4}" name="31/12/2026" dataDxfId="476" dataCellStyle="Normal 3 2"/>
    <tableColumn id="34" xr3:uid="{BB236258-6359-4C27-ACF1-7F4CF3785034}" name="30/01/2027" dataDxfId="475" dataCellStyle="Normal 3 2"/>
    <tableColumn id="35" xr3:uid="{ABBD849A-A547-4480-84F5-E8245853C1F5}" name="28/02/2027" dataDxfId="474" dataCellStyle="Normal 3 2"/>
    <tableColumn id="36" xr3:uid="{2F15C500-E532-4031-AD87-70BF7C0518F4}" name="31/03/2027" dataDxfId="473" dataCellStyle="Normal 3 2"/>
    <tableColumn id="37" xr3:uid="{80F9BD0B-0324-4C8E-AF9A-17DE1CE22668}" name="30/04/2027" dataDxfId="472" dataCellStyle="Normal 3 2"/>
    <tableColumn id="38" xr3:uid="{70B5456E-8A8D-48E4-B047-EC65BC5DCE86}" name="31/05/2027" dataDxfId="471" dataCellStyle="Normal 3 2"/>
    <tableColumn id="39" xr3:uid="{FD3BA3DB-E019-4BA6-8CF2-8B76EE3778C2}" name="30/06/2027" dataDxfId="470" dataCellStyle="Normal 3 2"/>
    <tableColumn id="40" xr3:uid="{77E3D49D-6081-4E54-9C2D-E7DA3F1EEC6F}" name="31/07/2027" dataDxfId="469" dataCellStyle="Normal 3 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FE81328-A099-4616-BA3C-E06D2486B1F5}" name="Table14" displayName="Table14" ref="R5:BG15" totalsRowCount="1" headerRowDxfId="468" tableBorderDxfId="467" headerRowCellStyle="Normal 3 2">
  <autoFilter ref="R5:BG14" xr:uid="{7FE81328-A099-4616-BA3C-E06D2486B1F5}"/>
  <tableColumns count="42">
    <tableColumn id="1" xr3:uid="{E608E4DE-04CC-4316-9685-C4340BBDA8E5}" name="Business Unit" totalsRowLabel=" Total " dataDxfId="466" totalsRowDxfId="465" dataCellStyle="Normal 3 2"/>
    <tableColumn id="2" xr3:uid="{289D20A3-DF3D-4A28-8AB7-5B7732DA9CC9}" name="30/06/2024" dataDxfId="464" totalsRowDxfId="463" dataCellStyle="Normal 3 2"/>
    <tableColumn id="3" xr3:uid="{EAFECCE9-D120-47C6-BD14-97F9310E884D}" name="31/07/2024" dataDxfId="462" totalsRowDxfId="461" dataCellStyle="Normal 3 2"/>
    <tableColumn id="4" xr3:uid="{B0BD99E7-60E1-40E8-A68F-F89DE89EA87C}" name="31/08/2024" dataDxfId="460" totalsRowDxfId="459" dataCellStyle="Normal 3 2"/>
    <tableColumn id="5" xr3:uid="{9D936BDB-62EF-47DE-A757-B8A8DDF4A7AE}" name="30/09/2024" dataDxfId="458" totalsRowDxfId="457" dataCellStyle="Normal 3 2"/>
    <tableColumn id="6" xr3:uid="{9FABF16C-EC97-4B82-94DF-2C714FC96245}" name="31/10/2024" dataDxfId="456" totalsRowDxfId="455" dataCellStyle="Normal 3 2"/>
    <tableColumn id="7" xr3:uid="{A5B5743E-046E-43DA-B257-6B88EDC5D61A}" name="30/11/2024" dataDxfId="454" totalsRowDxfId="453" dataCellStyle="Normal 3 2"/>
    <tableColumn id="8" xr3:uid="{E9D20B22-A124-416F-8575-E07C1F71D8C5}" name="31/12/2024" dataDxfId="452" totalsRowDxfId="451" dataCellStyle="Normal 3 2"/>
    <tableColumn id="9" xr3:uid="{DEF33EA6-8B0E-49AA-BBC9-7AC5D82389AB}" name="30/01/2025" totalsRowFunction="custom" dataDxfId="450" totalsRowDxfId="449" dataCellStyle="Normal 3 2">
      <totalsRowFormula>SUM(Table14[30/01/2025])</totalsRowFormula>
    </tableColumn>
    <tableColumn id="10" xr3:uid="{11988B54-6D5A-4F15-90DE-26033A5A8C55}" name="28/02/2025" totalsRowFunction="custom" dataDxfId="448" totalsRowDxfId="447" dataCellStyle="Normal 3 2">
      <totalsRowFormula>SUM(Table14[28/02/2025])</totalsRowFormula>
    </tableColumn>
    <tableColumn id="11" xr3:uid="{7F4DB244-895C-4DE0-87B7-0D1F48ECE28B}" name="31/03/2025" totalsRowFunction="custom" dataDxfId="446" totalsRowDxfId="445" dataCellStyle="Normal 3 2">
      <totalsRowFormula>SUM(Table14[31/03/2025])</totalsRowFormula>
    </tableColumn>
    <tableColumn id="12" xr3:uid="{340336B7-8E11-44E5-AEF3-B945D09CBC8C}" name="30/04/2025" totalsRowFunction="custom" dataDxfId="444" totalsRowDxfId="443" dataCellStyle="Normal 3 2">
      <totalsRowFormula>SUM(Table14[30/04/2025])</totalsRowFormula>
    </tableColumn>
    <tableColumn id="13" xr3:uid="{46746B82-20F4-4E1C-85F5-F7DF8E711A55}" name="31/05/2025" totalsRowFunction="custom" dataDxfId="442" totalsRowDxfId="441" dataCellStyle="Normal 3 2">
      <totalsRowFormula>SUM(Table14[31/05/2025])</totalsRowFormula>
    </tableColumn>
    <tableColumn id="14" xr3:uid="{0993D058-C2EE-4C4E-82B7-8E6F13E52CFE}" name="30/06/2025" totalsRowFunction="custom" dataDxfId="440" totalsRowDxfId="439" dataCellStyle="Normal 3 2">
      <totalsRowFormula>SUM(Table14[30/06/2025])</totalsRowFormula>
    </tableColumn>
    <tableColumn id="15" xr3:uid="{200A9A35-FF93-4081-B700-4956E5DD3192}" name="31/07/2025" totalsRowFunction="custom" dataDxfId="438" totalsRowDxfId="437" dataCellStyle="Normal 3 2">
      <calculatedColumnFormula>SUMIFS('Regional allocations LIVE'!$T:$T,
  'Regional allocations LIVE'!$H:$H, $R6,
  'Regional allocations LIVE'!$R:$R, "&gt;=" &amp; AF$4,
  'Regional allocations LIVE'!$R:$R, "&lt;=" &amp; Table14[[#Headers],[31/07/2025]]
)</calculatedColumnFormula>
      <totalsRowFormula>SUM(Table14[31/07/2025])</totalsRowFormula>
    </tableColumn>
    <tableColumn id="16" xr3:uid="{20E4FA44-DAE8-4687-97D4-90383023D966}" name="31/08/2025" totalsRowFunction="custom" dataDxfId="436" totalsRowDxfId="435" dataCellStyle="Normal 3 2">
      <calculatedColumnFormula>SUMIFS('Regional allocations LIVE'!$T:$T,
  'Regional allocations LIVE'!$H:$H, $R6,
  'Regional allocations LIVE'!$R:$R, "&gt;=" &amp; AG$4,
  'Regional allocations LIVE'!$R:$R, "&lt;=" &amp; Table14[[#Headers],[31/08/2025]]
)</calculatedColumnFormula>
      <totalsRowFormula>SUM(Table14[31/08/2025])</totalsRowFormula>
    </tableColumn>
    <tableColumn id="17" xr3:uid="{E4C583C9-EA0F-43A8-9A66-36DF0B9A9B70}" name="30/09/2025" totalsRowFunction="custom" dataDxfId="434" totalsRowDxfId="433" dataCellStyle="Normal 3 2">
      <calculatedColumnFormula>SUMIFS('Regional allocations LIVE'!$T:$T,
  'Regional allocations LIVE'!$H:$H, $R6,
  'Regional allocations LIVE'!$R:$R, "&gt;=" &amp; AH$4,
  'Regional allocations LIVE'!$R:$R, "&lt;=" &amp; Table14[[#Headers],[30/09/2025]]
)</calculatedColumnFormula>
      <totalsRowFormula>SUM(Table14[30/09/2025])</totalsRowFormula>
    </tableColumn>
    <tableColumn id="18" xr3:uid="{88195CD1-E291-4193-B004-65B5F2B81E1D}" name="31/10/2025" totalsRowFunction="custom" dataDxfId="432" totalsRowDxfId="431" dataCellStyle="Normal 3 2">
      <calculatedColumnFormula>SUMIFS('Regional allocations LIVE'!$T:$T,
  'Regional allocations LIVE'!$H:$H, $R6,
  'Regional allocations LIVE'!$R:$R, "&gt;=" &amp; AI$4,
  'Regional allocations LIVE'!$R:$R, "&lt;=" &amp; Table14[[#Headers],[31/10/2025]]
)</calculatedColumnFormula>
      <totalsRowFormula>SUM(Table14[31/10/2025])</totalsRowFormula>
    </tableColumn>
    <tableColumn id="19" xr3:uid="{D73CD6FB-FC0B-4C62-9527-D4AD80EE3BFE}" name="30/11/2025" totalsRowFunction="custom" dataDxfId="430" totalsRowDxfId="429" dataCellStyle="Normal 3 2">
      <calculatedColumnFormula>SUMIFS('Regional allocations LIVE'!$T:$T,
  'Regional allocations LIVE'!$H:$H, $R6,
  'Regional allocations LIVE'!$R:$R, "&gt;=" &amp; AJ$4,
  'Regional allocations LIVE'!$R:$R, "&lt;=" &amp; Table14[[#Headers],[30/11/2025]]
)</calculatedColumnFormula>
      <totalsRowFormula>SUM(Table14[30/11/2025])</totalsRowFormula>
    </tableColumn>
    <tableColumn id="20" xr3:uid="{A14CB78D-CF88-49B5-BE7A-1CA4909B4398}" name="31/12/2025" totalsRowFunction="custom" dataDxfId="428" totalsRowDxfId="427" dataCellStyle="Normal 3 2">
      <calculatedColumnFormula>SUMIFS('Regional allocations LIVE'!$T:$T,
  'Regional allocations LIVE'!$H:$H, $R6,
  'Regional allocations LIVE'!$R:$R, "&gt;=" &amp; AK$4,
  'Regional allocations LIVE'!$R:$R, "&lt;=" &amp; Table14[[#Headers],[31/12/2025]]
)</calculatedColumnFormula>
      <totalsRowFormula>SUM(Table14[31/12/2025])</totalsRowFormula>
    </tableColumn>
    <tableColumn id="21" xr3:uid="{8CDA0A10-B95F-4C24-8EA3-D357EFB90267}" name="30/01/2026" totalsRowFunction="custom" dataDxfId="426" totalsRowDxfId="425" dataCellStyle="Normal 3 2">
      <calculatedColumnFormula>SUMIFS('Regional allocations LIVE'!$T:$T,
  'Regional allocations LIVE'!$H:$H, $R6,
  'Regional allocations LIVE'!$R:$R, "&gt;=" &amp; AL$4,
  'Regional allocations LIVE'!$R:$R, "&lt;=" &amp; Table14[[#Headers],[30/01/2026]]
)</calculatedColumnFormula>
      <totalsRowFormula>SUM(Table14[30/01/2026])</totalsRowFormula>
    </tableColumn>
    <tableColumn id="22" xr3:uid="{BD325EF2-CFB0-4F21-BDA9-C5A9883C8F5A}" name="28/02/2026" totalsRowFunction="custom" dataDxfId="424" totalsRowDxfId="423" dataCellStyle="Normal 3 2">
      <calculatedColumnFormula>SUMIFS('Regional allocations LIVE'!$T:$T,
  'Regional allocations LIVE'!$H:$H, $R6,
  'Regional allocations LIVE'!$R:$R, "&gt;=" &amp; AM$4,
  'Regional allocations LIVE'!$R:$R, "&lt;=" &amp; Table14[[#Headers],[28/02/2026]]
)</calculatedColumnFormula>
      <totalsRowFormula>SUM(Table14[28/02/2026])</totalsRowFormula>
    </tableColumn>
    <tableColumn id="23" xr3:uid="{6F071E49-A215-4C84-9313-FACF024C40EC}" name="31/03/2026" totalsRowFunction="custom" dataDxfId="422" totalsRowDxfId="421" dataCellStyle="Normal 3 2">
      <calculatedColumnFormula>SUMIFS('Regional allocations LIVE'!$T:$T,
  'Regional allocations LIVE'!$H:$H, $R6,
  'Regional allocations LIVE'!$R:$R, "&gt;=" &amp; AN$4,
  'Regional allocations LIVE'!$R:$R, "&lt;=" &amp; Table14[[#Headers],[31/03/2026]]
)</calculatedColumnFormula>
      <totalsRowFormula>SUM(Table14[31/03/2026])</totalsRowFormula>
    </tableColumn>
    <tableColumn id="24" xr3:uid="{6D2C2272-C5F4-41CE-9817-8A6EE8762770}" name="30/04/2026" totalsRowFunction="custom" dataDxfId="420" totalsRowDxfId="419" dataCellStyle="Normal 3 2">
      <calculatedColumnFormula>SUMIFS('Regional allocations LIVE'!$T:$T,
  'Regional allocations LIVE'!$H:$H, $R6,
  'Regional allocations LIVE'!$R:$R, "&gt;=" &amp; AO$4,
  'Regional allocations LIVE'!$R:$R, "&lt;=" &amp; Table14[[#Headers],[30/04/2026]]
)</calculatedColumnFormula>
      <totalsRowFormula>SUM(Table14[30/04/2026])</totalsRowFormula>
    </tableColumn>
    <tableColumn id="25" xr3:uid="{4BB8B07D-28FC-4225-8C51-67713C54915C}" name="31/05/2026" totalsRowFunction="custom" dataDxfId="418" totalsRowDxfId="417" dataCellStyle="Normal 3 2">
      <calculatedColumnFormula>SUMIFS('Regional allocations LIVE'!$T:$T,
  'Regional allocations LIVE'!$H:$H, $R6,
  'Regional allocations LIVE'!$R:$R, "&gt;=" &amp; AP$4,
  'Regional allocations LIVE'!$R:$R, "&lt;=" &amp; Table14[[#Headers],[31/05/2026]]
)</calculatedColumnFormula>
      <totalsRowFormula>SUM(Table14[31/05/2026])</totalsRowFormula>
    </tableColumn>
    <tableColumn id="26" xr3:uid="{241D404F-105C-4B26-B0B9-7DF400AF2AAE}" name="30/06/2026" totalsRowFunction="custom" dataDxfId="416" totalsRowDxfId="415" dataCellStyle="Normal 3 2">
      <calculatedColumnFormula>SUMIFS('Regional allocations LIVE'!$T:$T,
  'Regional allocations LIVE'!$H:$H, $R6,
  'Regional allocations LIVE'!$R:$R, "&gt;=" &amp; AQ$4,
  'Regional allocations LIVE'!$R:$R, "&lt;=" &amp; Table14[[#Headers],[30/06/2026]]
)</calculatedColumnFormula>
      <totalsRowFormula>SUM(Table14[30/06/2026])</totalsRowFormula>
    </tableColumn>
    <tableColumn id="27" xr3:uid="{B6E3BBF5-9BCC-4220-BFEF-768EA8C1FAB9}" name="31/07/2026" totalsRowFunction="custom" dataDxfId="414" totalsRowDxfId="413" dataCellStyle="Normal 3 2">
      <calculatedColumnFormula>SUMIFS('Regional allocations LIVE'!$T:$T,
  'Regional allocations LIVE'!$H:$H, $R6,
  'Regional allocations LIVE'!$R:$R, "&gt;=" &amp; AR$4,
  'Regional allocations LIVE'!$R:$R, "&lt;=" &amp; Table14[[#Headers],[31/07/2026]]
)</calculatedColumnFormula>
      <totalsRowFormula>SUM(Table14[31/07/2026])</totalsRowFormula>
    </tableColumn>
    <tableColumn id="28" xr3:uid="{38F25F07-80A8-4F1F-B545-EC66941667E0}" name="31/08/2026" totalsRowFunction="custom" dataDxfId="412" totalsRowDxfId="411" dataCellStyle="Normal 3 2">
      <calculatedColumnFormula>SUMIFS('Regional allocations LIVE'!$T:$T,
  'Regional allocations LIVE'!$H:$H, $R6,
  'Regional allocations LIVE'!$R:$R, "&gt;=" &amp; AS$4,
  'Regional allocations LIVE'!$R:$R, "&lt;=" &amp; Table14[[#Headers],[31/08/2026]]
)</calculatedColumnFormula>
      <totalsRowFormula>SUM(Table14[31/08/2026])</totalsRowFormula>
    </tableColumn>
    <tableColumn id="29" xr3:uid="{8C59BB0F-D984-488D-93E0-793D6E1B2C45}" name="30/09/2026" totalsRowFunction="custom" dataDxfId="410" totalsRowDxfId="409" dataCellStyle="Normal 3 2">
      <calculatedColumnFormula>SUMIFS('Regional allocations LIVE'!$T:$T,
  'Regional allocations LIVE'!$H:$H, $R6,
  'Regional allocations LIVE'!$R:$R, "&gt;=" &amp; AT$4,
  'Regional allocations LIVE'!$R:$R, "&lt;=" &amp; Table14[[#Headers],[30/09/2026]]
)</calculatedColumnFormula>
      <totalsRowFormula>SUM(Table14[30/09/2026])</totalsRowFormula>
    </tableColumn>
    <tableColumn id="30" xr3:uid="{A2452106-CBAE-470F-A3E8-A47C98D92D7F}" name="31/10/2026" totalsRowFunction="custom" dataDxfId="408" totalsRowDxfId="407" dataCellStyle="Normal 3 2">
      <calculatedColumnFormula>SUMIFS('Regional allocations LIVE'!$T:$T,
  'Regional allocations LIVE'!$H:$H, $R6,
  'Regional allocations LIVE'!$R:$R, "&gt;=" &amp; AU$4,
  'Regional allocations LIVE'!$R:$R, "&lt;=" &amp; Table14[[#Headers],[31/10/2026]]
)</calculatedColumnFormula>
      <totalsRowFormula>SUM(Table14[31/10/2026])</totalsRowFormula>
    </tableColumn>
    <tableColumn id="31" xr3:uid="{EA75B6DD-5F4B-4682-B78B-8515BA247CBA}" name="30/11/2026" totalsRowFunction="custom" dataDxfId="406" totalsRowDxfId="405" dataCellStyle="Normal 3 2">
      <calculatedColumnFormula>SUMIFS('Regional allocations LIVE'!$T:$T,
  'Regional allocations LIVE'!$H:$H, $R6,
  'Regional allocations LIVE'!$R:$R, "&gt;=" &amp; AV$4,
  'Regional allocations LIVE'!$R:$R, "&lt;=" &amp; Table14[[#Headers],[30/11/2026]]
)</calculatedColumnFormula>
      <totalsRowFormula>SUM(Table14[30/11/2026])</totalsRowFormula>
    </tableColumn>
    <tableColumn id="32" xr3:uid="{A56B3382-EEE2-4969-B4AF-5F60B0CBDF42}" name="31/12/2026" totalsRowFunction="custom" dataDxfId="404" totalsRowDxfId="403" dataCellStyle="Normal 3 2">
      <calculatedColumnFormula>SUMIFS('Regional allocations LIVE'!$T:$T,
  'Regional allocations LIVE'!$H:$H, $R6,
  'Regional allocations LIVE'!$R:$R, "&gt;=" &amp; AW$4,
  'Regional allocations LIVE'!$R:$R, "&lt;=" &amp; Table14[[#Headers],[31/12/2026]]
)</calculatedColumnFormula>
      <totalsRowFormula>SUM(Table14[31/12/2026])</totalsRowFormula>
    </tableColumn>
    <tableColumn id="33" xr3:uid="{6C984444-5DD4-4C0B-B211-5F70BB3226EE}" name="30/01/2027" totalsRowFunction="custom" dataDxfId="402" totalsRowDxfId="401" dataCellStyle="Normal 3 2">
      <calculatedColumnFormula>SUMIFS('Regional allocations LIVE'!$T:$T,
  'Regional allocations LIVE'!$H:$H, $R6,
  'Regional allocations LIVE'!$R:$R, "&gt;=" &amp; AX$4,
  'Regional allocations LIVE'!$R:$R, "&lt;=" &amp; Table14[[#Headers],[30/01/2027]]
)</calculatedColumnFormula>
      <totalsRowFormula>SUM(Table14[30/01/2027])</totalsRowFormula>
    </tableColumn>
    <tableColumn id="34" xr3:uid="{15708518-6D82-4A98-A583-27F66A89C9FE}" name="28/02/2027" totalsRowFunction="custom" dataDxfId="400" totalsRowDxfId="399" dataCellStyle="Normal 3 2">
      <calculatedColumnFormula>SUMIFS('Regional allocations LIVE'!$T:$T,
  'Regional allocations LIVE'!$H:$H, $R6,
  'Regional allocations LIVE'!$R:$R, "&gt;=" &amp; AY$4,
  'Regional allocations LIVE'!$R:$R, "&lt;=" &amp; Table14[[#Headers],[28/02/2027]]
)</calculatedColumnFormula>
      <totalsRowFormula>SUM(Table14[28/02/2027])</totalsRowFormula>
    </tableColumn>
    <tableColumn id="35" xr3:uid="{1937E4D1-3070-4532-8481-8D19414BC32B}" name="31/03/2027" totalsRowFunction="custom" dataDxfId="398" totalsRowDxfId="397" dataCellStyle="Normal 3 2">
      <calculatedColumnFormula>SUMIFS('Regional allocations LIVE'!$T:$T,
  'Regional allocations LIVE'!$H:$H, $R6,
  'Regional allocations LIVE'!$R:$R, "&gt;=" &amp; AZ$4,
  'Regional allocations LIVE'!$R:$R, "&lt;=" &amp; Table14[[#Headers],[31/03/2027]]
)</calculatedColumnFormula>
      <totalsRowFormula>SUM(Table14[31/03/2027])</totalsRowFormula>
    </tableColumn>
    <tableColumn id="36" xr3:uid="{D2E04FB7-E12E-4A3F-9F8C-5FFF1954ED17}" name="30/04/2027" totalsRowFunction="custom" dataDxfId="396" totalsRowDxfId="395" dataCellStyle="Normal 3 2">
      <calculatedColumnFormula>SUMIFS('Regional allocations LIVE'!$T:$T,
  'Regional allocations LIVE'!$H:$H, $R6,
  'Regional allocations LIVE'!$R:$R, "&gt;=" &amp; BA$4,
  'Regional allocations LIVE'!$R:$R, "&lt;=" &amp; Table14[[#Headers],[30/04/2027]]
)</calculatedColumnFormula>
      <totalsRowFormula>SUM(Table14[30/04/2027])</totalsRowFormula>
    </tableColumn>
    <tableColumn id="37" xr3:uid="{F92BEA93-C21D-4071-ACEB-F1EA3B248ECF}" name="31/05/2027" totalsRowFunction="custom" dataDxfId="394" totalsRowDxfId="393" dataCellStyle="Normal 3 2">
      <calculatedColumnFormula>SUMIFS('Regional allocations LIVE'!$T:$T,
  'Regional allocations LIVE'!$H:$H, $R6,
  'Regional allocations LIVE'!$R:$R, "&gt;=" &amp; BB$4,
  'Regional allocations LIVE'!$R:$R, "&lt;=" &amp; Table14[[#Headers],[31/05/2027]]
)</calculatedColumnFormula>
      <totalsRowFormula>SUM(Table14[31/05/2027])</totalsRowFormula>
    </tableColumn>
    <tableColumn id="38" xr3:uid="{5DA84D96-ED93-42EE-8DD2-650707088CE9}" name="30/06/2027" totalsRowFunction="custom" dataDxfId="392" totalsRowDxfId="391" dataCellStyle="Normal 3 2">
      <calculatedColumnFormula>SUMIFS('Regional allocations LIVE'!$T:$T,
  'Regional allocations LIVE'!$H:$H, $R6,
  'Regional allocations LIVE'!$R:$R, "&gt;=" &amp; BC$4,
  'Regional allocations LIVE'!$R:$R, "&lt;=" &amp; Table14[[#Headers],[30/06/2027]]
)</calculatedColumnFormula>
      <totalsRowFormula>SUM(Table14[30/06/2027])</totalsRowFormula>
    </tableColumn>
    <tableColumn id="39" xr3:uid="{28052BD8-6E59-4D93-BB32-553A80309F00}" name="31/07/2027" totalsRowFunction="custom" dataDxfId="390" totalsRowDxfId="389" dataCellStyle="Normal 3 2">
      <calculatedColumnFormula>SUMIFS('Regional allocations LIVE'!$T:$T,
  'Regional allocations LIVE'!$H:$H, $R6,
  'Regional allocations LIVE'!$R:$R, "&gt;=" &amp; BD$4,
  'Regional allocations LIVE'!$R:$R, "&lt;=" &amp; Table14[[#Headers],[31/07/2027]]
)</calculatedColumnFormula>
      <totalsRowFormula>SUM(Table14[31/07/2027])</totalsRowFormula>
    </tableColumn>
    <tableColumn id="40" xr3:uid="{0FADEBA9-77BB-428D-9BA8-B67A685623DF}" name="31/08/2027" totalsRowFunction="custom" dataDxfId="388" totalsRowDxfId="387" dataCellStyle="Normal 3 2">
      <calculatedColumnFormula>SUMIFS('Regional allocations LIVE'!$T:$T,
  'Regional allocations LIVE'!$H:$H, $R6,
  'Regional allocations LIVE'!$R:$R, "&gt;=" &amp; BE$4,
  'Regional allocations LIVE'!$R:$R, "&lt;=" &amp; Table14[[#Headers],[31/08/2027]]
)</calculatedColumnFormula>
      <totalsRowFormula>SUM(Table14[31/08/2027])</totalsRowFormula>
    </tableColumn>
    <tableColumn id="41" xr3:uid="{A4F4CB42-7B19-474A-8506-8222AE97D186}" name="30/09/2027" totalsRowFunction="custom" dataDxfId="386" totalsRowDxfId="385" dataCellStyle="Normal 3 2">
      <calculatedColumnFormula>SUMIFS('Regional allocations LIVE'!$T:$T,
  'Regional allocations LIVE'!$H:$H, $R6,
  'Regional allocations LIVE'!$R:$R, "&gt;=" &amp; BF$4,
  'Regional allocations LIVE'!$R:$R, "&lt;=" &amp; Table14[[#Headers],[30/09/2027]]
)</calculatedColumnFormula>
      <totalsRowFormula>SUM(Table14[30/09/2027])</totalsRowFormula>
    </tableColumn>
    <tableColumn id="42" xr3:uid="{EB094C52-DE00-4DB6-BF2A-83872207BB9E}" name="31/10/2027" totalsRowFunction="custom" dataDxfId="384" totalsRowDxfId="383" dataCellStyle="Normal 3 2">
      <calculatedColumnFormula>SUMIFS('Regional allocations LIVE'!$T:$T,
  'Regional allocations LIVE'!$H:$H, $R6,
  'Regional allocations LIVE'!$R:$R, "&gt;=" &amp; BG$4,
  'Regional allocations LIVE'!$R:$R, "&lt;=" &amp; Table14[[#Headers],[31/10/2027]]
)</calculatedColumnFormula>
      <totalsRowFormula>SUM(Table14[31/10/2027])</totalsRow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0431DA-6703-472E-91C5-76DF1DD18321}" name="Table16" displayName="Table16" ref="R17:BG26" totalsRowCount="1" headerRowDxfId="382" tableBorderDxfId="381" headerRowCellStyle="Normal 3 2">
  <autoFilter ref="R17:BG25" xr:uid="{310431DA-6703-472E-91C5-76DF1DD18321}"/>
  <tableColumns count="42">
    <tableColumn id="1" xr3:uid="{9C9C1B56-9FEF-4001-B126-7CE6FCF169E7}" name="Business Unit" totalsRowLabel=" Total " dataDxfId="380" totalsRowDxfId="379" dataCellStyle="Normal 3 2"/>
    <tableColumn id="2" xr3:uid="{4B8EE06C-690E-4FB7-B2C2-EC7334FC4D1D}" name="30/06/2024" dataDxfId="378" totalsRowDxfId="377" dataCellStyle="Normal 3 2"/>
    <tableColumn id="3" xr3:uid="{3A11099F-B64B-4A5E-AEE5-68006A4E1B05}" name="31/07/2024" dataDxfId="376" totalsRowDxfId="375" dataCellStyle="Normal 3 2"/>
    <tableColumn id="4" xr3:uid="{BD549C44-F122-4991-99BF-A9BB79CBDD45}" name="31/08/2024" dataDxfId="374" totalsRowDxfId="373" dataCellStyle="Normal 3 2"/>
    <tableColumn id="5" xr3:uid="{5C93E6DE-5A7F-462A-B605-C6D2BDBCFFA1}" name="30/09/2024" dataDxfId="372" totalsRowDxfId="371" dataCellStyle="Normal 3 2"/>
    <tableColumn id="6" xr3:uid="{53FCCB4C-AF28-43F4-B782-855F97084EEF}" name="31/10/2024" dataDxfId="370" totalsRowDxfId="369" dataCellStyle="Normal 3 2"/>
    <tableColumn id="7" xr3:uid="{DCBB5376-F1D3-499F-B5A0-367A82E485C9}" name="30/11/2024" dataDxfId="368" totalsRowDxfId="367" dataCellStyle="Normal 3 2"/>
    <tableColumn id="8" xr3:uid="{E84A5933-6C16-4E09-86F6-7B9C78311370}" name="31/12/2024" dataDxfId="366" totalsRowDxfId="365" dataCellStyle="Normal 3 2"/>
    <tableColumn id="9" xr3:uid="{0CC33C85-079B-40B3-B27C-CF02F11345CB}" name="30/01/2025" dataDxfId="364" totalsRowDxfId="363" dataCellStyle="Normal 3 2"/>
    <tableColumn id="10" xr3:uid="{C720A73F-BEAB-4E1A-B2CE-31EA0759E689}" name="28/02/2025" dataDxfId="362" totalsRowDxfId="361" dataCellStyle="Normal 3 2"/>
    <tableColumn id="11" xr3:uid="{C4FCC8F7-BC49-4E70-A43E-F391F8B59DEC}" name="31/03/2025" dataDxfId="360" totalsRowDxfId="359" dataCellStyle="Normal 3 2"/>
    <tableColumn id="12" xr3:uid="{CA1BE9A0-3B7C-4837-B27A-2CDBC3D0A6D6}" name="30/04/2025" totalsRowFunction="custom" dataDxfId="358" totalsRowDxfId="357" dataCellStyle="Normal 3 2">
      <totalsRowFormula>SUM(Table16[30/04/2025])</totalsRowFormula>
    </tableColumn>
    <tableColumn id="13" xr3:uid="{92114402-D627-4C77-AD43-A02DA56CE81A}" name="31/05/2025" totalsRowFunction="custom" dataDxfId="356" totalsRowDxfId="355" dataCellStyle="Normal 3 2">
      <totalsRowFormula>SUM(Table16[31/05/2025])</totalsRowFormula>
    </tableColumn>
    <tableColumn id="14" xr3:uid="{06F96471-3A02-4830-9EBB-8E2FCDEEC341}" name="30/06/2025" totalsRowFunction="custom" dataDxfId="354" totalsRowDxfId="353" dataCellStyle="Normal 3 2">
      <totalsRowFormula>SUM(Table16[30/06/2025])</totalsRowFormula>
    </tableColumn>
    <tableColumn id="15" xr3:uid="{B18242A8-8039-41E8-9962-F6D2642A2AA4}" name="31/07/2025" totalsRowFunction="custom" dataDxfId="352" totalsRowDxfId="351" dataCellStyle="Normal 3 2">
      <calculatedColumnFormula>SUMIFS('Regional allocations LIVE'!$T:$T,
  'Regional allocations LIVE'!$H:$H, $R18,
  'Regional allocations LIVE'!$D:$D, "&gt;=" &amp; AF$4,
  'Regional allocations LIVE'!$D:$D, "&lt;=" &amp; Table14[[#Headers],[31/07/2025]]
)</calculatedColumnFormula>
      <totalsRowFormula>SUM(Table16[31/07/2025])</totalsRowFormula>
    </tableColumn>
    <tableColumn id="16" xr3:uid="{B8A98B64-6471-40FB-AA9B-87AFC6E1DC9C}" name="31/08/2025" totalsRowFunction="custom" dataDxfId="350" totalsRowDxfId="349" dataCellStyle="Normal 3 2">
      <calculatedColumnFormula>SUMIFS('Regional allocations LIVE'!$T:$T,
  'Regional allocations LIVE'!$H:$H, $R18,
  'Regional allocations LIVE'!$D:$D, "&gt;=" &amp; AG$4,
  'Regional allocations LIVE'!$D:$D, "&lt;=" &amp; Table14[[#Headers],[31/08/2025]]
)</calculatedColumnFormula>
      <totalsRowFormula>SUM(Table16[31/08/2025])</totalsRowFormula>
    </tableColumn>
    <tableColumn id="17" xr3:uid="{C21AEE43-5689-4006-B626-E6B3F2BDA065}" name="30/09/2025" totalsRowFunction="custom" dataDxfId="348" totalsRowDxfId="347" dataCellStyle="Normal 3 2">
      <calculatedColumnFormula>SUMIFS('Regional allocations LIVE'!$T:$T,
  'Regional allocations LIVE'!$H:$H, $R18,
  'Regional allocations LIVE'!$D:$D, "&gt;=" &amp; AH$4,
  'Regional allocations LIVE'!$D:$D, "&lt;=" &amp; Table14[[#Headers],[30/09/2025]]
)</calculatedColumnFormula>
      <totalsRowFormula>SUM(Table16[30/09/2025])</totalsRowFormula>
    </tableColumn>
    <tableColumn id="18" xr3:uid="{1D298299-0B92-43AC-A2D8-EF9B36AB3F48}" name="31/10/2025" totalsRowFunction="custom" dataDxfId="346" totalsRowDxfId="345" dataCellStyle="Normal 3 2">
      <calculatedColumnFormula>SUMIFS('Regional allocations LIVE'!$T:$T,
  'Regional allocations LIVE'!$H:$H, $R18,
  'Regional allocations LIVE'!$D:$D, "&gt;=" &amp; AI$4,
  'Regional allocations LIVE'!$D:$D, "&lt;=" &amp; Table14[[#Headers],[31/10/2025]]
)</calculatedColumnFormula>
      <totalsRowFormula>SUM(Table16[31/10/2025])</totalsRowFormula>
    </tableColumn>
    <tableColumn id="19" xr3:uid="{8D4D9EA7-9C28-4DA4-8D1C-A7EC6BE09007}" name="30/11/2025" totalsRowFunction="custom" dataDxfId="344" totalsRowDxfId="343" dataCellStyle="Normal 3 2">
      <calculatedColumnFormula>SUMIFS('Regional allocations LIVE'!$T:$T,
  'Regional allocations LIVE'!$H:$H, $R18,
  'Regional allocations LIVE'!$D:$D, "&gt;=" &amp; AJ$4,
  'Regional allocations LIVE'!$D:$D, "&lt;=" &amp; Table14[[#Headers],[30/11/2025]]
)</calculatedColumnFormula>
      <totalsRowFormula>SUM(Table16[30/11/2025])</totalsRowFormula>
    </tableColumn>
    <tableColumn id="20" xr3:uid="{8C5EA6DE-F14B-403A-99E5-B88B8F978C33}" name="31/12/2025" totalsRowFunction="custom" dataDxfId="342" totalsRowDxfId="341" dataCellStyle="Normal 3 2">
      <calculatedColumnFormula>SUMIFS('Regional allocations LIVE'!$T:$T,
  'Regional allocations LIVE'!$H:$H, $R18,
  'Regional allocations LIVE'!$D:$D, "&gt;=" &amp; AK$4,
  'Regional allocations LIVE'!$D:$D, "&lt;=" &amp; Table14[[#Headers],[31/12/2025]]
)</calculatedColumnFormula>
      <totalsRowFormula>SUM(Table16[31/12/2025])</totalsRowFormula>
    </tableColumn>
    <tableColumn id="21" xr3:uid="{8BB54489-C3E5-45A5-A1C5-6BC28083E383}" name="30/01/2026" totalsRowFunction="custom" dataDxfId="340" totalsRowDxfId="339" dataCellStyle="Normal 3 2">
      <calculatedColumnFormula>SUMIFS('Regional allocations LIVE'!$T:$T,
  'Regional allocations LIVE'!$H:$H, $R18,
  'Regional allocations LIVE'!$D:$D, "&gt;=" &amp; AL$4,
  'Regional allocations LIVE'!$D:$D, "&lt;=" &amp; Table14[[#Headers],[30/01/2026]]
)</calculatedColumnFormula>
      <totalsRowFormula>SUM(Table16[30/01/2026])</totalsRowFormula>
    </tableColumn>
    <tableColumn id="22" xr3:uid="{39ADD363-4B4A-42F0-B720-7A17FDCF9852}" name="28/02/2026" totalsRowFunction="custom" dataDxfId="338" totalsRowDxfId="337" dataCellStyle="Normal 3 2">
      <calculatedColumnFormula>SUMIFS('Regional allocations LIVE'!$T:$T,
  'Regional allocations LIVE'!$H:$H, $R18,
  'Regional allocations LIVE'!$D:$D, "&gt;=" &amp; AM$4,
  'Regional allocations LIVE'!$D:$D, "&lt;=" &amp; Table14[[#Headers],[28/02/2026]]
)</calculatedColumnFormula>
      <totalsRowFormula>SUM(Table16[28/02/2026])</totalsRowFormula>
    </tableColumn>
    <tableColumn id="23" xr3:uid="{5F35C50C-4C33-408B-B5E5-24BC9AA10FFA}" name="31/03/2026" totalsRowFunction="custom" dataDxfId="336" totalsRowDxfId="335" dataCellStyle="Normal 3 2">
      <calculatedColumnFormula>SUMIFS('Regional allocations LIVE'!$T:$T,
  'Regional allocations LIVE'!$H:$H, $R18,
  'Regional allocations LIVE'!$D:$D, "&gt;=" &amp; AN$4,
  'Regional allocations LIVE'!$D:$D, "&lt;=" &amp; Table14[[#Headers],[31/03/2026]]
)</calculatedColumnFormula>
      <totalsRowFormula>SUM(Table16[31/03/2026])</totalsRowFormula>
    </tableColumn>
    <tableColumn id="24" xr3:uid="{B15D40A4-A9F0-4DAD-AC42-F38B43548FC1}" name="30/04/2026" totalsRowFunction="custom" dataDxfId="334" totalsRowDxfId="333" dataCellStyle="Normal 3 2">
      <calculatedColumnFormula>SUMIFS('Regional allocations LIVE'!$T:$T,
  'Regional allocations LIVE'!$H:$H, $R18,
  'Regional allocations LIVE'!$D:$D, "&gt;=" &amp; AO$4,
  'Regional allocations LIVE'!$D:$D, "&lt;=" &amp; Table14[[#Headers],[30/04/2026]]
)</calculatedColumnFormula>
      <totalsRowFormula>SUM(Table16[30/04/2026])</totalsRowFormula>
    </tableColumn>
    <tableColumn id="25" xr3:uid="{477EA073-9C1C-4CE7-B4F5-662475B954EF}" name="31/05/2026" totalsRowFunction="custom" dataDxfId="332" totalsRowDxfId="331" dataCellStyle="Normal 3 2">
      <calculatedColumnFormula>SUMIFS('Regional allocations LIVE'!$T:$T,
  'Regional allocations LIVE'!$H:$H, $R18,
  'Regional allocations LIVE'!$D:$D, "&gt;=" &amp; AP$4,
  'Regional allocations LIVE'!$D:$D, "&lt;=" &amp; Table14[[#Headers],[31/05/2026]]
)</calculatedColumnFormula>
      <totalsRowFormula>SUM(Table16[31/05/2026])</totalsRowFormula>
    </tableColumn>
    <tableColumn id="26" xr3:uid="{CC9CF71E-0E14-4A03-8F7D-CAA72593D54F}" name="30/06/2026" totalsRowFunction="custom" dataDxfId="330" totalsRowDxfId="329" dataCellStyle="Normal 3 2">
      <calculatedColumnFormula>SUMIFS('Regional allocations LIVE'!$T:$T,
  'Regional allocations LIVE'!$H:$H, $R18,
  'Regional allocations LIVE'!$D:$D, "&gt;=" &amp; AQ$4,
  'Regional allocations LIVE'!$D:$D, "&lt;=" &amp; Table14[[#Headers],[30/06/2026]]
)</calculatedColumnFormula>
      <totalsRowFormula>SUM(Table16[30/06/2026])</totalsRowFormula>
    </tableColumn>
    <tableColumn id="27" xr3:uid="{FDD3F24A-B18B-49AE-AD55-49844087B28A}" name="31/07/2026" totalsRowFunction="custom" dataDxfId="328" totalsRowDxfId="327" dataCellStyle="Normal 3 2">
      <calculatedColumnFormula>SUMIFS('Regional allocations LIVE'!$T:$T,
  'Regional allocations LIVE'!$H:$H, $R18,
  'Regional allocations LIVE'!$D:$D, "&gt;=" &amp; AR$4,
  'Regional allocations LIVE'!$D:$D, "&lt;=" &amp; Table14[[#Headers],[31/07/2026]]
)</calculatedColumnFormula>
      <totalsRowFormula>SUM(Table16[31/07/2026])</totalsRowFormula>
    </tableColumn>
    <tableColumn id="28" xr3:uid="{87722545-1D3F-4F50-B1FD-B9E7A9483AD0}" name="31/08/2026" totalsRowFunction="custom" dataDxfId="326" totalsRowDxfId="325" dataCellStyle="Normal 3 2">
      <calculatedColumnFormula>SUMIFS('Regional allocations LIVE'!$T:$T,
  'Regional allocations LIVE'!$H:$H, $R18,
  'Regional allocations LIVE'!$D:$D, "&gt;=" &amp; AS$4,
  'Regional allocations LIVE'!$D:$D, "&lt;=" &amp; Table14[[#Headers],[31/08/2026]]
)</calculatedColumnFormula>
      <totalsRowFormula>SUM(Table16[31/08/2026])</totalsRowFormula>
    </tableColumn>
    <tableColumn id="29" xr3:uid="{700419AB-3243-405A-A944-557D375BCC64}" name="30/09/2026" totalsRowFunction="custom" dataDxfId="324" totalsRowDxfId="323" dataCellStyle="Normal 3 2">
      <calculatedColumnFormula>SUMIFS('Regional allocations LIVE'!$T:$T,
  'Regional allocations LIVE'!$H:$H, $R18,
  'Regional allocations LIVE'!$D:$D, "&gt;=" &amp; AT$4,
  'Regional allocations LIVE'!$D:$D, "&lt;=" &amp; Table14[[#Headers],[30/09/2026]]
)</calculatedColumnFormula>
      <totalsRowFormula>SUM(Table16[30/09/2026])</totalsRowFormula>
    </tableColumn>
    <tableColumn id="30" xr3:uid="{919926A3-0FED-4936-A402-6D903204FC5F}" name="31/10/2026" totalsRowFunction="custom" dataDxfId="322" totalsRowDxfId="321" dataCellStyle="Normal 3 2">
      <calculatedColumnFormula>SUMIFS('Regional allocations LIVE'!$T:$T,
  'Regional allocations LIVE'!$H:$H, $R18,
  'Regional allocations LIVE'!$D:$D, "&gt;=" &amp; AU$4,
  'Regional allocations LIVE'!$D:$D, "&lt;=" &amp; Table14[[#Headers],[31/10/2026]]
)</calculatedColumnFormula>
      <totalsRowFormula>SUM(Table16[31/10/2026])</totalsRowFormula>
    </tableColumn>
    <tableColumn id="31" xr3:uid="{D6D26538-38FC-4F46-B024-D666FAA6EE46}" name="30/11/2026" totalsRowFunction="custom" dataDxfId="320" totalsRowDxfId="319" dataCellStyle="Normal 3 2">
      <calculatedColumnFormula>SUMIFS('Regional allocations LIVE'!$T:$T,
  'Regional allocations LIVE'!$H:$H, $R18,
  'Regional allocations LIVE'!$D:$D, "&gt;=" &amp; AV$4,
  'Regional allocations LIVE'!$D:$D, "&lt;=" &amp; Table14[[#Headers],[30/11/2026]]
)</calculatedColumnFormula>
      <totalsRowFormula>SUM(Table16[30/11/2026])</totalsRowFormula>
    </tableColumn>
    <tableColumn id="32" xr3:uid="{0B1FFA19-9DFE-4E91-973B-5F1313FD0424}" name="31/12/2026" totalsRowFunction="custom" dataDxfId="318" totalsRowDxfId="317" dataCellStyle="Normal 3 2">
      <calculatedColumnFormula>SUMIFS('Regional allocations LIVE'!$T:$T,
  'Regional allocations LIVE'!$H:$H, $R18,
  'Regional allocations LIVE'!$D:$D, "&gt;=" &amp; AW$4,
  'Regional allocations LIVE'!$D:$D, "&lt;=" &amp; Table14[[#Headers],[31/12/2026]]
)</calculatedColumnFormula>
      <totalsRowFormula>SUM(Table16[31/12/2026])</totalsRowFormula>
    </tableColumn>
    <tableColumn id="33" xr3:uid="{2D646E59-65DE-4A59-82E0-EC9C12EFF42C}" name="30/01/2027" totalsRowFunction="custom" dataDxfId="316" totalsRowDxfId="315" dataCellStyle="Normal 3 2">
      <calculatedColumnFormula>SUMIFS('Regional allocations LIVE'!$T:$T,
  'Regional allocations LIVE'!$H:$H, $R18,
  'Regional allocations LIVE'!$D:$D, "&gt;=" &amp; AX$4,
  'Regional allocations LIVE'!$D:$D, "&lt;=" &amp; Table14[[#Headers],[30/01/2027]]
)</calculatedColumnFormula>
      <totalsRowFormula>SUM(Table16[30/01/2027])</totalsRowFormula>
    </tableColumn>
    <tableColumn id="34" xr3:uid="{CA463B77-2213-457F-B0D4-60D2B7C14474}" name="28/02/2027" totalsRowFunction="custom" dataDxfId="314" totalsRowDxfId="313" dataCellStyle="Normal 3 2">
      <calculatedColumnFormula>SUMIFS('Regional allocations LIVE'!$T:$T,
  'Regional allocations LIVE'!$H:$H, $R18,
  'Regional allocations LIVE'!$D:$D, "&gt;=" &amp; AY$4,
  'Regional allocations LIVE'!$D:$D, "&lt;=" &amp; Table14[[#Headers],[28/02/2027]]
)</calculatedColumnFormula>
      <totalsRowFormula>SUM(Table16[28/02/2027])</totalsRowFormula>
    </tableColumn>
    <tableColumn id="35" xr3:uid="{323EFC5C-7519-469C-8864-7A60C6BE2A17}" name="31/03/2027" totalsRowFunction="custom" dataDxfId="312" totalsRowDxfId="311" dataCellStyle="Normal 3 2">
      <calculatedColumnFormula>SUMIFS('Regional allocations LIVE'!$T:$T,
  'Regional allocations LIVE'!$H:$H, $R18,
  'Regional allocations LIVE'!$D:$D, "&gt;=" &amp; AZ$4,
  'Regional allocations LIVE'!$D:$D, "&lt;=" &amp; Table14[[#Headers],[31/03/2027]]
)</calculatedColumnFormula>
      <totalsRowFormula>SUM(Table16[31/03/2027])</totalsRowFormula>
    </tableColumn>
    <tableColumn id="36" xr3:uid="{C4B9526F-DE58-4EA9-B0F2-F2B7BCC2513D}" name="30/04/2027" totalsRowFunction="custom" dataDxfId="310" totalsRowDxfId="309" dataCellStyle="Normal 3 2">
      <calculatedColumnFormula>SUMIFS('Regional allocations LIVE'!$T:$T,
  'Regional allocations LIVE'!$H:$H, $R18,
  'Regional allocations LIVE'!$D:$D, "&gt;=" &amp; BA$4,
  'Regional allocations LIVE'!$D:$D, "&lt;=" &amp; Table14[[#Headers],[30/04/2027]]
)</calculatedColumnFormula>
      <totalsRowFormula>SUM(Table16[30/04/2027])</totalsRowFormula>
    </tableColumn>
    <tableColumn id="37" xr3:uid="{02D32C1B-120D-4DD3-8FFA-F438604715DE}" name="31/05/2027" totalsRowFunction="custom" dataDxfId="308" totalsRowDxfId="307" dataCellStyle="Normal 3 2">
      <calculatedColumnFormula>SUMIFS('Regional allocations LIVE'!$T:$T,
  'Regional allocations LIVE'!$H:$H, $R18,
  'Regional allocations LIVE'!$D:$D, "&gt;=" &amp; BB$4,
  'Regional allocations LIVE'!$D:$D, "&lt;=" &amp; Table14[[#Headers],[31/05/2027]]
)</calculatedColumnFormula>
      <totalsRowFormula>SUM(Table16[31/05/2027])</totalsRowFormula>
    </tableColumn>
    <tableColumn id="38" xr3:uid="{9B365D8A-2031-4349-8EE4-9A8386F75ABA}" name="30/06/2027" totalsRowFunction="custom" dataDxfId="306" totalsRowDxfId="305" dataCellStyle="Normal 3 2">
      <calculatedColumnFormula>SUMIFS('Regional allocations LIVE'!$T:$T,
  'Regional allocations LIVE'!$H:$H, $R18,
  'Regional allocations LIVE'!$D:$D, "&gt;=" &amp; BC$4,
  'Regional allocations LIVE'!$D:$D, "&lt;=" &amp; Table14[[#Headers],[30/06/2027]]
)</calculatedColumnFormula>
      <totalsRowFormula>SUM(Table16[30/06/2027])</totalsRowFormula>
    </tableColumn>
    <tableColumn id="39" xr3:uid="{DD2B1EA4-A4F8-4806-AE13-6B4C2D8A1667}" name="31/07/2027" totalsRowFunction="custom" dataDxfId="304" totalsRowDxfId="303" dataCellStyle="Normal 3 2">
      <calculatedColumnFormula>SUMIFS('Regional allocations LIVE'!$T:$T,
  'Regional allocations LIVE'!$H:$H, $R18,
  'Regional allocations LIVE'!$D:$D, "&gt;=" &amp; BD$4,
  'Regional allocations LIVE'!$D:$D, "&lt;=" &amp; Table14[[#Headers],[31/07/2027]]
)</calculatedColumnFormula>
      <totalsRowFormula>SUM(Table16[31/07/2027])</totalsRowFormula>
    </tableColumn>
    <tableColumn id="40" xr3:uid="{B73F4B23-F6E8-4B5A-872B-7841987D0DB9}" name="31/08/2027" dataDxfId="302" totalsRowDxfId="301" dataCellStyle="Normal 3 2">
      <calculatedColumnFormula>SUMIFS('Regional allocations LIVE'!$T:$T,
  'Regional allocations LIVE'!$H:$H, $R18,
  'Regional allocations LIVE'!$D:$D, "&gt;=" &amp; BE$4,
  'Regional allocations LIVE'!$D:$D, "&lt;=" &amp; Table14[[#Headers],[31/08/2027]]
)</calculatedColumnFormula>
    </tableColumn>
    <tableColumn id="41" xr3:uid="{2A5265C9-4FAC-4C41-A6B9-D7C13A82EC2F}" name="30/09/2027" dataDxfId="300" totalsRowDxfId="299" dataCellStyle="Normal 3 2">
      <calculatedColumnFormula>SUMIFS('Regional allocations LIVE'!$T:$T,
  'Regional allocations LIVE'!$H:$H, $R18,
  'Regional allocations LIVE'!$D:$D, "&gt;=" &amp; BF$4,
  'Regional allocations LIVE'!$D:$D, "&lt;=" &amp; Table14[[#Headers],[30/09/2027]]
)</calculatedColumnFormula>
    </tableColumn>
    <tableColumn id="42" xr3:uid="{6BE5B47A-4639-42FF-A19B-70F9FE8FA2C1}" name="31/10/2027" dataDxfId="298" totalsRowDxfId="297" dataCellStyle="Normal 3 2">
      <calculatedColumnFormula>SUMIFS('Regional allocations LIVE'!$T:$T,
  'Regional allocations LIVE'!$H:$H, $R18,
  'Regional allocations LIVE'!$D:$D, "&gt;=" &amp; BG$4,
  'Regional allocations LIVE'!$D:$D, "&lt;=" &amp; Table14[[#Headers],[31/10/2027]]
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06AD511-C493-4E46-8FAE-E7CB745913A2}" name="Table1318" displayName="Table1318" ref="Q89:AH99" totalsRowShown="0" headerRowDxfId="296" dataDxfId="294" headerRowBorderDxfId="295" tableBorderDxfId="293" totalsRowBorderDxfId="292" headerRowCellStyle="Normal 3 2" dataCellStyle="Normal 3 2">
  <autoFilter ref="Q89:AH99" xr:uid="{D06AD511-C493-4E46-8FAE-E7CB745913A2}"/>
  <tableColumns count="18">
    <tableColumn id="1" xr3:uid="{A0628C53-0DB5-489A-AE1B-46491E75C27A}" name="Business Unit" dataDxfId="291" dataCellStyle="Normal 3 2"/>
    <tableColumn id="2" xr3:uid="{3198BDE5-05C7-4CD8-B8E1-B2870ED5FBA0}" name="31/05/2024" dataDxfId="290" dataCellStyle="Normal 3 2"/>
    <tableColumn id="3" xr3:uid="{03BB7BDC-09DA-471A-958B-4275AF6B42AF}" name="30/06/2024" dataDxfId="289" dataCellStyle="Normal 3 2"/>
    <tableColumn id="4" xr3:uid="{2B6A4D7E-F2E3-4A10-89FB-8047B6FF4CF7}" name="31/07/2024" dataDxfId="288" dataCellStyle="Normal 3 2"/>
    <tableColumn id="5" xr3:uid="{D1F1B1EF-8088-4186-B32A-24142B9072D2}" name="31/08/2024" dataDxfId="287" dataCellStyle="Normal 3 2"/>
    <tableColumn id="6" xr3:uid="{9880FD2B-4AE0-49AC-BEE1-2AD39AA259F3}" name="30/09/2024" dataDxfId="286" dataCellStyle="Normal 3 2"/>
    <tableColumn id="7" xr3:uid="{4E71E324-F35E-4910-879E-4BF628241E7E}" name="31/10/2024" dataDxfId="285" dataCellStyle="Normal 3 2"/>
    <tableColumn id="8" xr3:uid="{7F1C2FF1-00DA-4EFC-BDF1-1E5D125AB3E0}" name="30/11/2024" dataDxfId="284" dataCellStyle="Normal 3 2"/>
    <tableColumn id="9" xr3:uid="{B0874892-3F83-48C9-AB49-76F6C93A63CE}" name="31/12/2024" dataDxfId="283" dataCellStyle="Normal 3 2"/>
    <tableColumn id="10" xr3:uid="{E05ED553-0A2D-4E7C-B88D-BC9DDF5120F9}" name="30/01/2025" dataDxfId="282" dataCellStyle="Normal 3 2"/>
    <tableColumn id="11" xr3:uid="{BEB4B33B-6F41-478C-92AD-62EBAFF74C11}" name="28/02/2025" dataDxfId="281" dataCellStyle="Normal 3 2"/>
    <tableColumn id="12" xr3:uid="{D55161D6-ABD8-4157-9C38-D26BD8BB5549}" name="31/03/2025" dataDxfId="280" dataCellStyle="Normal 3 2"/>
    <tableColumn id="13" xr3:uid="{74B9A9E2-A3AC-4552-84A0-17092B9B1A89}" name="30/04/2025" dataDxfId="279" dataCellStyle="Normal 3 2"/>
    <tableColumn id="14" xr3:uid="{69A241E3-AB2B-419C-A85F-83A14C243E9A}" name="31/05/2025" dataDxfId="278" dataCellStyle="Normal 3 2">
      <calculatedColumnFormula>AVERAGE(Y40:AD40)</calculatedColumnFormula>
    </tableColumn>
    <tableColumn id="15" xr3:uid="{AD5378C6-6B9E-4D1C-A8DB-95E70210DA56}" name="Jun-25" dataDxfId="277" dataCellStyle="Normal 3 2"/>
    <tableColumn id="16" xr3:uid="{D2FC5F3B-3E42-4FF1-9889-80EDC72532FB}" name="31/07/2025" dataDxfId="276" dataCellStyle="Normal 3 2">
      <calculatedColumnFormula>SUM(Table14[[30/01/2025]:[30/06/2025]]) / AVERAGE(AA39:AF39)</calculatedColumnFormula>
    </tableColumn>
    <tableColumn id="17" xr3:uid="{D430ACF8-1902-4D9F-89B4-07DE6F1B4815}" name="Aug-25" dataDxfId="275" dataCellStyle="Normal 3 2"/>
    <tableColumn id="18" xr3:uid="{413CDFDE-9742-4E72-9C46-4A41C45745E0}" name="Sept-25" dataDxfId="274" dataCellStyle="Normal 3 2">
      <calculatedColumnFormula>SUM(Table14[[30/01/2025]:[30/06/2025]]) / AVERAGE(AC39:AH39)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449D4DD-18CA-42BA-84E9-15B875DDF0C8}" name="Table1320" displayName="Table1320" ref="Q51:BD61" totalsRowShown="0" headerRowDxfId="273" dataDxfId="272" tableBorderDxfId="271" headerRowCellStyle="Normal 3 2" dataCellStyle="Normal 3 2">
  <autoFilter ref="Q51:BD61" xr:uid="{2449D4DD-18CA-42BA-84E9-15B875DDF0C8}"/>
  <tableColumns count="40">
    <tableColumn id="1" xr3:uid="{BDFE3923-E385-41DE-8C5B-34603040025C}" name="Business Unit" dataDxfId="270" dataCellStyle="Normal 3 2"/>
    <tableColumn id="2" xr3:uid="{3519E45A-52A4-4CD8-8B90-6C1B86720ED5}" name="Column1" dataDxfId="269" dataCellStyle="Normal 3 2"/>
    <tableColumn id="3" xr3:uid="{4A1D8D2C-509D-4E26-8CAF-5657F889A6CB}" name="Column2" dataDxfId="268" dataCellStyle="Normal 3 2"/>
    <tableColumn id="4" xr3:uid="{50505293-E486-489D-B53F-2499A2000ACC}" name="Column3" dataDxfId="267" dataCellStyle="Normal 3 2"/>
    <tableColumn id="5" xr3:uid="{EA7D2BE5-C3D6-4733-A59E-0B1D0686CB26}" name="31/08/2024" dataDxfId="266" dataCellStyle="Normal 3 2"/>
    <tableColumn id="6" xr3:uid="{ECBB2236-B6EC-484A-9EC7-0358FAD232E4}" name="30/09/2024" dataDxfId="265" dataCellStyle="Normal 3 2"/>
    <tableColumn id="7" xr3:uid="{EEEDFD3C-D44A-4540-9126-8C17924775FD}" name="31/10/2024" dataDxfId="264" dataCellStyle="Normal 3 2"/>
    <tableColumn id="8" xr3:uid="{BC7949AE-77BE-4392-87E2-E793271019F3}" name="30/11/2024" dataDxfId="263" dataCellStyle="Normal 3 2"/>
    <tableColumn id="9" xr3:uid="{99DE516B-54A5-4078-9DA6-143F63053ACF}" name="31/12/2024" dataDxfId="262" dataCellStyle="Normal 3 2"/>
    <tableColumn id="10" xr3:uid="{95215F73-E854-47F0-9F75-8A4D9CBD27ED}" name="30/01/2025" dataDxfId="261" dataCellStyle="Normal 3 2"/>
    <tableColumn id="11" xr3:uid="{E76DB68A-8AB1-4018-A2CA-7972387AED53}" name="28/02/2025" dataDxfId="260" dataCellStyle="Normal 3 2"/>
    <tableColumn id="12" xr3:uid="{9DC2C08A-6A92-4C64-8DF2-2AE0E3D5F8FD}" name="31/03/2025" dataDxfId="259" dataCellStyle="Normal 3 2"/>
    <tableColumn id="13" xr3:uid="{F5D73B12-042B-4DF0-827F-1851F8010D9B}" name="30/04/2025" dataDxfId="258" dataCellStyle="Normal 3 2"/>
    <tableColumn id="14" xr3:uid="{B929184A-4655-4A2D-8F03-E10A05B10633}" name="31/05/2025" dataDxfId="257" dataCellStyle="Normal 3 2"/>
    <tableColumn id="15" xr3:uid="{CF77F7A4-C9E2-4352-819C-6366791695B2}" name="30/06/2025" dataDxfId="256" dataCellStyle="Normal 3 2"/>
    <tableColumn id="16" xr3:uid="{1CC90561-DBD5-42E7-97A6-92FF627F0659}" name="31/07/2025" dataDxfId="255" dataCellStyle="Normal 3 2"/>
    <tableColumn id="17" xr3:uid="{666D8290-325C-4E70-A9FC-14BCCC014ACB}" name="31/08/2025" dataDxfId="254" dataCellStyle="Normal 3 2">
      <calculatedColumnFormula array="1">SUMPRODUCT(
  ('Regional allocations LIVE'!$H$4:$H$269=$O52) *
  ('Regional allocations LIVE'!$D$4:$D$269&lt;AH$4) *
  (ISNUMBER('Regional allocations LIVE'!$D$4:$D$269)) *
  (('Regional allocations LIVE'!$R$4:$R$269="") + ('Regional allocations LIVE'!$R$4:$R$269&gt;=AH$4)) *
  'Regional allocations LIVE'!$T$4:$T$269)</calculatedColumnFormula>
    </tableColumn>
    <tableColumn id="18" xr3:uid="{88FBE9C0-985B-4297-AA52-2BA0F4DA3EFC}" name="30/09/2025" dataDxfId="253" dataCellStyle="Normal 3 2">
      <calculatedColumnFormula array="1">SUMPRODUCT(
  ('Regional allocations LIVE'!$H$4:$H$269=$O52) *
  ('Regional allocations LIVE'!$D$4:$D$269&lt;AI$4) *
  (ISNUMBER('Regional allocations LIVE'!$D$4:$D$269)) *
  (('Regional allocations LIVE'!$R$4:$R$269="") + ('Regional allocations LIVE'!$R$4:$R$269&gt;=AI$4)) *
  'Regional allocations LIVE'!$T$4:$T$269)</calculatedColumnFormula>
    </tableColumn>
    <tableColumn id="19" xr3:uid="{DB2E3753-5321-4819-AA4E-280EFB1C5E86}" name="31/10/2025" dataDxfId="252" dataCellStyle="Normal 3 2">
      <calculatedColumnFormula array="1">SUMPRODUCT(
  ('Regional allocations LIVE'!$H$4:$H$269=$O52) *
  ('Regional allocations LIVE'!$D$4:$D$269&lt;AJ$4) *
  (ISNUMBER('Regional allocations LIVE'!$D$4:$D$269)) *
  (('Regional allocations LIVE'!$R$4:$R$269="") + ('Regional allocations LIVE'!$R$4:$R$269&gt;=AJ$4)) *
  'Regional allocations LIVE'!$T$4:$T$269)</calculatedColumnFormula>
    </tableColumn>
    <tableColumn id="20" xr3:uid="{709F1FFB-F92E-4544-A40F-E04461EAE56A}" name="30/11/2025" dataDxfId="251" dataCellStyle="Normal 3 2">
      <calculatedColumnFormula array="1">SUMPRODUCT(
  ('Regional allocations LIVE'!$H$4:$H$269=$O52) *
  ('Regional allocations LIVE'!$D$4:$D$269&lt;AK$4) *
  (ISNUMBER('Regional allocations LIVE'!$D$4:$D$269)) *
  (('Regional allocations LIVE'!$R$4:$R$269="") + ('Regional allocations LIVE'!$R$4:$R$269&gt;=AK$4)) *
  'Regional allocations LIVE'!$T$4:$T$269)</calculatedColumnFormula>
    </tableColumn>
    <tableColumn id="21" xr3:uid="{96B5EE4B-F995-4CB8-ABF3-696854656A17}" name="31/12/2025" dataDxfId="250" dataCellStyle="Normal 3 2">
      <calculatedColumnFormula array="1">SUMPRODUCT(
  ('Regional allocations LIVE'!$H$4:$H$269=$O52) *
  ('Regional allocations LIVE'!$D$4:$D$269&lt;AL$4) *
  (ISNUMBER('Regional allocations LIVE'!$D$4:$D$269)) *
  (('Regional allocations LIVE'!$R$4:$R$269="") + ('Regional allocations LIVE'!$R$4:$R$269&gt;=AL$4)) *
  'Regional allocations LIVE'!$T$4:$T$269)</calculatedColumnFormula>
    </tableColumn>
    <tableColumn id="22" xr3:uid="{08D3AAC6-FA75-4734-9CFB-2A39DD108E72}" name="30/01/2026" dataDxfId="249" dataCellStyle="Normal 3 2">
      <calculatedColumnFormula array="1">SUMPRODUCT(
  ('Regional allocations LIVE'!$H$4:$H$269=$O52) *
  ('Regional allocations LIVE'!$D$4:$D$269&lt;AM$4) *
  (ISNUMBER('Regional allocations LIVE'!$D$4:$D$269)) *
  (('Regional allocations LIVE'!$R$4:$R$269="") + ('Regional allocations LIVE'!$R$4:$R$269&gt;=AM$4)) *
  'Regional allocations LIVE'!$T$4:$T$269)</calculatedColumnFormula>
    </tableColumn>
    <tableColumn id="23" xr3:uid="{03708943-43E8-4454-BAAD-16798F55CD4C}" name="28/02/2026" dataDxfId="248" dataCellStyle="Normal 3 2">
      <calculatedColumnFormula array="1">SUMPRODUCT(
  ('Regional allocations LIVE'!$H$4:$H$269=$O52) *
  ('Regional allocations LIVE'!$D$4:$D$269&lt;AN$4) *
  (ISNUMBER('Regional allocations LIVE'!$D$4:$D$269)) *
  (('Regional allocations LIVE'!$R$4:$R$269="") + ('Regional allocations LIVE'!$R$4:$R$269&gt;=AN$4)) *
  'Regional allocations LIVE'!$T$4:$T$269)</calculatedColumnFormula>
    </tableColumn>
    <tableColumn id="24" xr3:uid="{16345CE9-5F3E-4A5F-9052-EAB01DA8E617}" name="31/03/2026" dataDxfId="247" dataCellStyle="Normal 3 2">
      <calculatedColumnFormula array="1">SUMPRODUCT(
  ('Regional allocations LIVE'!$H$4:$H$269=$O52) *
  ('Regional allocations LIVE'!$D$4:$D$269&lt;AO$4) *
  (ISNUMBER('Regional allocations LIVE'!$D$4:$D$269)) *
  (('Regional allocations LIVE'!$R$4:$R$269="") + ('Regional allocations LIVE'!$R$4:$R$269&gt;=AO$4)) *
  'Regional allocations LIVE'!$T$4:$T$269)</calculatedColumnFormula>
    </tableColumn>
    <tableColumn id="25" xr3:uid="{65F3430E-9751-4759-A039-0B71391C92B7}" name="30/04/2026" dataDxfId="246" dataCellStyle="Normal 3 2">
      <calculatedColumnFormula array="1">SUMPRODUCT(
  ('Regional allocations LIVE'!$H$4:$H$269=$O52) *
  ('Regional allocations LIVE'!$D$4:$D$269&lt;AP$4) *
  (ISNUMBER('Regional allocations LIVE'!$D$4:$D$269)) *
  (('Regional allocations LIVE'!$R$4:$R$269="") + ('Regional allocations LIVE'!$R$4:$R$269&gt;=AP$4)) *
  'Regional allocations LIVE'!$T$4:$T$269)</calculatedColumnFormula>
    </tableColumn>
    <tableColumn id="26" xr3:uid="{F3593DEC-7041-4B65-B3F2-5319B1BE17F3}" name="31/05/2026" dataDxfId="245" dataCellStyle="Normal 3 2">
      <calculatedColumnFormula array="1">SUMPRODUCT(
  ('Regional allocations LIVE'!$H$4:$H$269=$O52) *
  ('Regional allocations LIVE'!$D$4:$D$269&lt;AQ$4) *
  (ISNUMBER('Regional allocations LIVE'!$D$4:$D$269)) *
  (('Regional allocations LIVE'!$R$4:$R$269="") + ('Regional allocations LIVE'!$R$4:$R$269&gt;=AQ$4)) *
  'Regional allocations LIVE'!$T$4:$T$269)</calculatedColumnFormula>
    </tableColumn>
    <tableColumn id="27" xr3:uid="{90541A0D-2E3F-43F3-B4DD-1930CAE9FE47}" name="30/06/2026" dataDxfId="244" dataCellStyle="Normal 3 2">
      <calculatedColumnFormula array="1">SUMPRODUCT(
  ('Regional allocations LIVE'!$H$4:$H$269=$O52) *
  ('Regional allocations LIVE'!$D$4:$D$269&lt;AR$4) *
  (ISNUMBER('Regional allocations LIVE'!$D$4:$D$269)) *
  (('Regional allocations LIVE'!$R$4:$R$269="") + ('Regional allocations LIVE'!$R$4:$R$269&gt;=AR$4)) *
  'Regional allocations LIVE'!$T$4:$T$269)</calculatedColumnFormula>
    </tableColumn>
    <tableColumn id="28" xr3:uid="{9322DD3C-10EF-41B1-9058-F09E481369EC}" name="31/07/2026" dataDxfId="243" dataCellStyle="Normal 3 2">
      <calculatedColumnFormula array="1">SUMPRODUCT(
  ('Regional allocations LIVE'!$H$4:$H$269=$O52) *
  ('Regional allocations LIVE'!$D$4:$D$269&lt;AS$4) *
  (ISNUMBER('Regional allocations LIVE'!$D$4:$D$269)) *
  (('Regional allocations LIVE'!$R$4:$R$269="") + ('Regional allocations LIVE'!$R$4:$R$269&gt;=AS$4)) *
  'Regional allocations LIVE'!$T$4:$T$269)</calculatedColumnFormula>
    </tableColumn>
    <tableColumn id="29" xr3:uid="{F6381A6F-5E41-4193-8D6B-8EC9EE59B490}" name="31/08/2026" dataDxfId="242" dataCellStyle="Normal 3 2">
      <calculatedColumnFormula array="1">SUMPRODUCT(
  ('Regional allocations LIVE'!$H$4:$H$269=$O52) *
  ('Regional allocations LIVE'!$D$4:$D$269&lt;AT$4) *
  (ISNUMBER('Regional allocations LIVE'!$D$4:$D$269)) *
  (('Regional allocations LIVE'!$R$4:$R$269="") + ('Regional allocations LIVE'!$R$4:$R$269&gt;=AT$4)) *
  'Regional allocations LIVE'!$T$4:$T$269)</calculatedColumnFormula>
    </tableColumn>
    <tableColumn id="30" xr3:uid="{0DCB2D00-12F4-42E3-9612-6A443012238E}" name="30/09/2026" dataDxfId="241" dataCellStyle="Normal 3 2">
      <calculatedColumnFormula array="1">SUMPRODUCT(
  ('Regional allocations LIVE'!$H$4:$H$269=$O52) *
  ('Regional allocations LIVE'!$D$4:$D$269&lt;AU$4) *
  (ISNUMBER('Regional allocations LIVE'!$D$4:$D$269)) *
  (('Regional allocations LIVE'!$R$4:$R$269="") + ('Regional allocations LIVE'!$R$4:$R$269&gt;=AU$4)) *
  'Regional allocations LIVE'!$T$4:$T$269)</calculatedColumnFormula>
    </tableColumn>
    <tableColumn id="31" xr3:uid="{C8CEF91B-B7D6-4D33-A80F-5830CF977548}" name="31/10/2026" dataDxfId="240" dataCellStyle="Normal 3 2">
      <calculatedColumnFormula array="1">SUMPRODUCT(
  ('Regional allocations LIVE'!$H$4:$H$269=$O52) *
  ('Regional allocations LIVE'!$D$4:$D$269&lt;AV$4) *
  (ISNUMBER('Regional allocations LIVE'!$D$4:$D$269)) *
  (('Regional allocations LIVE'!$R$4:$R$269="") + ('Regional allocations LIVE'!$R$4:$R$269&gt;=AV$4)) *
  'Regional allocations LIVE'!$T$4:$T$269)</calculatedColumnFormula>
    </tableColumn>
    <tableColumn id="32" xr3:uid="{D163D02F-B4CE-44EA-BA42-FCD8392FC9F4}" name="30/11/2026" dataDxfId="239" dataCellStyle="Normal 3 2">
      <calculatedColumnFormula array="1">SUMPRODUCT(
  ('Regional allocations LIVE'!$H$4:$H$269=$O52) *
  ('Regional allocations LIVE'!$D$4:$D$269&lt;AW$4) *
  (ISNUMBER('Regional allocations LIVE'!$D$4:$D$269)) *
  (('Regional allocations LIVE'!$R$4:$R$269="") + ('Regional allocations LIVE'!$R$4:$R$269&gt;=AW$4)) *
  'Regional allocations LIVE'!$T$4:$T$269)</calculatedColumnFormula>
    </tableColumn>
    <tableColumn id="33" xr3:uid="{CC7590FF-023C-4D2A-AEE4-DEAE40AD1319}" name="31/12/2026" dataDxfId="238" dataCellStyle="Normal 3 2">
      <calculatedColumnFormula array="1">SUMPRODUCT(
  ('Regional allocations LIVE'!$H$4:$H$269=$O52) *
  ('Regional allocations LIVE'!$D$4:$D$269&lt;AX$4) *
  (ISNUMBER('Regional allocations LIVE'!$D$4:$D$269)) *
  (('Regional allocations LIVE'!$R$4:$R$269="") + ('Regional allocations LIVE'!$R$4:$R$269&gt;=AX$4)) *
  'Regional allocations LIVE'!$T$4:$T$269)</calculatedColumnFormula>
    </tableColumn>
    <tableColumn id="34" xr3:uid="{DEBCFD7D-C4A3-4393-9202-0064D4FCE7CD}" name="30/01/2027" dataDxfId="237" dataCellStyle="Normal 3 2">
      <calculatedColumnFormula array="1">SUMPRODUCT(
  ('Regional allocations LIVE'!$H$4:$H$269=$O52) *
  ('Regional allocations LIVE'!$D$4:$D$269&lt;AY$4) *
  (ISNUMBER('Regional allocations LIVE'!$D$4:$D$269)) *
  (('Regional allocations LIVE'!$R$4:$R$269="") + ('Regional allocations LIVE'!$R$4:$R$269&gt;=AY$4)) *
  'Regional allocations LIVE'!$T$4:$T$269)</calculatedColumnFormula>
    </tableColumn>
    <tableColumn id="35" xr3:uid="{1A1E8C68-D5AA-4B06-A125-9E9CCE8F4EA0}" name="28/02/2027" dataDxfId="236" dataCellStyle="Normal 3 2">
      <calculatedColumnFormula array="1">SUMPRODUCT(
  ('Regional allocations LIVE'!$H$4:$H$269=$O52) *
  ('Regional allocations LIVE'!$D$4:$D$269&lt;AZ$4) *
  (ISNUMBER('Regional allocations LIVE'!$D$4:$D$269)) *
  (('Regional allocations LIVE'!$R$4:$R$269="") + ('Regional allocations LIVE'!$R$4:$R$269&gt;=AZ$4)) *
  'Regional allocations LIVE'!$T$4:$T$269)</calculatedColumnFormula>
    </tableColumn>
    <tableColumn id="36" xr3:uid="{4051AE44-44C8-4586-B189-9B40DBE7BFCA}" name="31/03/2027" dataDxfId="235" dataCellStyle="Normal 3 2">
      <calculatedColumnFormula array="1">SUMPRODUCT(
  ('Regional allocations LIVE'!$H$4:$H$269=$O52) *
  ('Regional allocations LIVE'!$D$4:$D$269&lt;BA$4) *
  (ISNUMBER('Regional allocations LIVE'!$D$4:$D$269)) *
  (('Regional allocations LIVE'!$R$4:$R$269="") + ('Regional allocations LIVE'!$R$4:$R$269&gt;=BA$4)) *
  'Regional allocations LIVE'!$T$4:$T$269)</calculatedColumnFormula>
    </tableColumn>
    <tableColumn id="37" xr3:uid="{7690DD41-9AD5-4E0C-9AF5-8DB3623235E4}" name="30/04/2027" dataDxfId="234" dataCellStyle="Normal 3 2">
      <calculatedColumnFormula array="1">SUMPRODUCT(
  ('Regional allocations LIVE'!$H$4:$H$269=$O52) *
  ('Regional allocations LIVE'!$D$4:$D$269&lt;BB$4) *
  (ISNUMBER('Regional allocations LIVE'!$D$4:$D$269)) *
  (('Regional allocations LIVE'!$R$4:$R$269="") + ('Regional allocations LIVE'!$R$4:$R$269&gt;=BB$4)) *
  'Regional allocations LIVE'!$T$4:$T$269)</calculatedColumnFormula>
    </tableColumn>
    <tableColumn id="38" xr3:uid="{7E27B727-AF01-4B04-A84A-44E51F2753B1}" name="31/05/2027" dataDxfId="233" dataCellStyle="Normal 3 2">
      <calculatedColumnFormula array="1">SUMPRODUCT(
  ('Regional allocations LIVE'!$H$4:$H$269=$O52) *
  ('Regional allocations LIVE'!$D$4:$D$269&lt;BC$4) *
  (ISNUMBER('Regional allocations LIVE'!$D$4:$D$269)) *
  (('Regional allocations LIVE'!$R$4:$R$269="") + ('Regional allocations LIVE'!$R$4:$R$269&gt;=BC$4)) *
  'Regional allocations LIVE'!$T$4:$T$269)</calculatedColumnFormula>
    </tableColumn>
    <tableColumn id="39" xr3:uid="{1B64983D-8C5F-4805-838B-9F3A7C00DC22}" name="30/06/2027" dataDxfId="232" dataCellStyle="Normal 3 2">
      <calculatedColumnFormula array="1">SUMPRODUCT(
  ('Regional allocations LIVE'!$H$4:$H$269=$O52) *
  ('Regional allocations LIVE'!$D$4:$D$269&lt;BD$4) *
  (ISNUMBER('Regional allocations LIVE'!$D$4:$D$269)) *
  (('Regional allocations LIVE'!$R$4:$R$269="") + ('Regional allocations LIVE'!$R$4:$R$269&gt;=BD$4)) *
  'Regional allocations LIVE'!$T$4:$T$269)</calculatedColumnFormula>
    </tableColumn>
    <tableColumn id="40" xr3:uid="{BCE5C7C1-EEBD-48EF-8DF0-BEBC8884494A}" name="31/07/2027" dataDxfId="231" dataCellStyle="Normal 3 2">
      <calculatedColumnFormula array="1">SUMPRODUCT(
  ('Regional allocations LIVE'!$H$4:$H$269=$O52) *
  ('Regional allocations LIVE'!$D$4:$D$269&lt;BE$4) *
  (ISNUMBER('Regional allocations LIVE'!$D$4:$D$269)) *
  (('Regional allocations LIVE'!$R$4:$R$269="") + ('Regional allocations LIVE'!$R$4:$R$269&gt;=BE$4)) *
  'Regional allocations LIVE'!$T$4:$T$269)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8ED4765-AB04-4844-9345-8F0DAB821E1A}" name="Table132021" displayName="Table132021" ref="Q65:BD73" totalsRowShown="0" headerRowDxfId="230" dataDxfId="229" tableBorderDxfId="228" headerRowCellStyle="Normal 3 2" dataCellStyle="Normal 3 2">
  <autoFilter ref="Q65:BD73" xr:uid="{88ED4765-AB04-4844-9345-8F0DAB821E1A}"/>
  <tableColumns count="40">
    <tableColumn id="1" xr3:uid="{82E322C6-C1EA-4660-AB1B-A14392C698CE}" name="Business Unit" dataDxfId="227" dataCellStyle="Normal 3 2"/>
    <tableColumn id="2" xr3:uid="{08274ACC-A883-4ED6-B146-99D229BC20D6}" name="31/05/2024" dataDxfId="226" dataCellStyle="Normal 3 2"/>
    <tableColumn id="3" xr3:uid="{D8E84A28-E703-4756-A22B-C5443F881F21}" name="30/06/2024" dataDxfId="225" dataCellStyle="Normal 3 2"/>
    <tableColumn id="4" xr3:uid="{DB9D35AC-D803-4166-87C9-50E59414401C}" name="31/07/2024" dataDxfId="224" dataCellStyle="Normal 3 2"/>
    <tableColumn id="5" xr3:uid="{8931A7EB-5715-4B5B-BD20-9216C7C57EA7}" name="31/08/2024" dataDxfId="223" dataCellStyle="Normal 3 2"/>
    <tableColumn id="6" xr3:uid="{5484D4B7-658B-4B0E-A934-0BD3E204AA04}" name="30/09/2024" dataDxfId="222" dataCellStyle="Normal 3 2"/>
    <tableColumn id="7" xr3:uid="{6D340573-1616-4992-942D-DEB360D6F719}" name="31/10/2024" dataDxfId="221" dataCellStyle="Normal 3 2"/>
    <tableColumn id="8" xr3:uid="{FAD80481-2ED3-4819-992A-B606A8C9CE34}" name="30/11/2024" dataDxfId="220" dataCellStyle="Normal 3 2"/>
    <tableColumn id="9" xr3:uid="{0E99C78C-9B9F-4FEE-B54B-299DC28914C4}" name="31/12/2024" dataDxfId="219" dataCellStyle="Normal 3 2"/>
    <tableColumn id="10" xr3:uid="{EACC7F0D-1884-4679-9D20-93891954C088}" name="30/01/2025" dataDxfId="218" dataCellStyle="Normal 3 2"/>
    <tableColumn id="11" xr3:uid="{5B1C8B5F-9D00-4860-9C5C-C0FF276A0D11}" name="28/02/2025" dataDxfId="217" dataCellStyle="Normal 3 2"/>
    <tableColumn id="12" xr3:uid="{D67525C4-E063-4938-85A0-B70029C12C81}" name="31/03/2025" dataDxfId="216" dataCellStyle="Normal 3 2"/>
    <tableColumn id="13" xr3:uid="{D3598A43-39E3-49A9-B33C-D4E19A1F1D26}" name="30/04/2025" dataDxfId="215" dataCellStyle="Normal 3 2"/>
    <tableColumn id="14" xr3:uid="{FF973845-16D5-49EA-AB04-036C6CEC6446}" name="31/05/2025" dataDxfId="214" dataCellStyle="Normal 3 2"/>
    <tableColumn id="15" xr3:uid="{99FB11ED-2F28-4E73-B83D-87CE5DA501BF}" name="30/06/2025" dataDxfId="213" dataCellStyle="Normal 3 2"/>
    <tableColumn id="16" xr3:uid="{B9EE49FB-87C3-46D4-A2F0-C29CEC116EBB}" name="31/07/2025" dataDxfId="212" dataCellStyle="Normal 3 2"/>
    <tableColumn id="17" xr3:uid="{DC7579D5-D77B-4DAB-991E-FAABBA1AE724}" name="31/08/2025" dataDxfId="211" dataCellStyle="Normal 3 2">
      <calculatedColumnFormula array="1">SUMPRODUCT(
  ('Regional allocations LIVE'!$H$2:$H$1047 = $O52) *
  (ISBLANK('Regional allocations LIVE'!$R$2:$R$1047) + ('Regional allocations LIVE'!$R$2:$R$1047 &gt;= AH$4)) *
  (ISNUMBER('Regional allocations LIVE'!$D$2:$D$1047)) *
  ('Regional allocations LIVE'!$D$2:$D$1047 &lt;= AH$4)
)</calculatedColumnFormula>
    </tableColumn>
    <tableColumn id="18" xr3:uid="{AEB621D2-CEFD-4742-8E23-063E353ABC12}" name="30/09/2025" dataDxfId="210" dataCellStyle="Normal 3 2">
      <calculatedColumnFormula array="1">SUMPRODUCT(
  ('Regional allocations LIVE'!$H$2:$H$1047 = $O52) *
  (ISBLANK('Regional allocations LIVE'!$R$2:$R$1047) + ('Regional allocations LIVE'!$R$2:$R$1047 &gt;= AI$4)) *
  (ISNUMBER('Regional allocations LIVE'!$D$2:$D$1047)) *
  ('Regional allocations LIVE'!$D$2:$D$1047 &lt;= AI$4)
)</calculatedColumnFormula>
    </tableColumn>
    <tableColumn id="19" xr3:uid="{AC1CAD30-25F8-4B7B-B57C-81367C7A9113}" name="31/10/2025" dataDxfId="209" dataCellStyle="Normal 3 2">
      <calculatedColumnFormula array="1">SUMPRODUCT(
  ('Regional allocations LIVE'!$H$2:$H$1047 = $O52) *
  (ISBLANK('Regional allocations LIVE'!$R$2:$R$1047) + ('Regional allocations LIVE'!$R$2:$R$1047 &gt;= AJ$4)) *
  (ISNUMBER('Regional allocations LIVE'!$D$2:$D$1047)) *
  ('Regional allocations LIVE'!$D$2:$D$1047 &lt;= AJ$4)
)</calculatedColumnFormula>
    </tableColumn>
    <tableColumn id="20" xr3:uid="{ADEBD263-4A6E-4A34-A550-D9E1C29EC6DD}" name="30/11/2025" dataDxfId="208" dataCellStyle="Normal 3 2">
      <calculatedColumnFormula array="1">SUMPRODUCT(
  ('Regional allocations LIVE'!$H$2:$H$1047 = $O52) *
  (ISBLANK('Regional allocations LIVE'!$R$2:$R$1047) + ('Regional allocations LIVE'!$R$2:$R$1047 &gt;= AK$4)) *
  (ISNUMBER('Regional allocations LIVE'!$D$2:$D$1047)) *
  ('Regional allocations LIVE'!$D$2:$D$1047 &lt;= AK$4)
)</calculatedColumnFormula>
    </tableColumn>
    <tableColumn id="21" xr3:uid="{5417B454-17DB-4F30-8C71-93B78F431409}" name="31/12/2025" dataDxfId="207" dataCellStyle="Normal 3 2">
      <calculatedColumnFormula array="1">SUMPRODUCT(
  ('Regional allocations LIVE'!$H$2:$H$1047 = $O52) *
  (ISBLANK('Regional allocations LIVE'!$R$2:$R$1047) + ('Regional allocations LIVE'!$R$2:$R$1047 &gt;= AL$4)) *
  (ISNUMBER('Regional allocations LIVE'!$D$2:$D$1047)) *
  ('Regional allocations LIVE'!$D$2:$D$1047 &lt;= AL$4)
)</calculatedColumnFormula>
    </tableColumn>
    <tableColumn id="22" xr3:uid="{3E4502E1-389E-4DC8-AFB7-FC86E570AB5D}" name="30/01/2026" dataDxfId="206" dataCellStyle="Normal 3 2">
      <calculatedColumnFormula array="1">SUMPRODUCT(
  ('Regional allocations LIVE'!$H$2:$H$1047 = $O52) *
  (ISBLANK('Regional allocations LIVE'!$R$2:$R$1047) + ('Regional allocations LIVE'!$R$2:$R$1047 &gt;= AM$4)) *
  (ISNUMBER('Regional allocations LIVE'!$D$2:$D$1047)) *
  ('Regional allocations LIVE'!$D$2:$D$1047 &lt;= AM$4)
)</calculatedColumnFormula>
    </tableColumn>
    <tableColumn id="23" xr3:uid="{CD518D67-6AD6-4292-9F7E-A236369CFC36}" name="28/02/2026" dataDxfId="205" dataCellStyle="Normal 3 2">
      <calculatedColumnFormula array="1">SUMPRODUCT(
  ('Regional allocations LIVE'!$H$2:$H$1047 = $O52) *
  (ISBLANK('Regional allocations LIVE'!$R$2:$R$1047) + ('Regional allocations LIVE'!$R$2:$R$1047 &gt;= AN$4)) *
  (ISNUMBER('Regional allocations LIVE'!$D$2:$D$1047)) *
  ('Regional allocations LIVE'!$D$2:$D$1047 &lt;= AN$4)
)</calculatedColumnFormula>
    </tableColumn>
    <tableColumn id="24" xr3:uid="{36A5DD92-78B0-414E-9CA1-BAE6DC0DD360}" name="31/03/2026" dataDxfId="204" dataCellStyle="Normal 3 2">
      <calculatedColumnFormula array="1">SUMPRODUCT(
  ('Regional allocations LIVE'!$H$2:$H$1047 = $O52) *
  (ISBLANK('Regional allocations LIVE'!$R$2:$R$1047) + ('Regional allocations LIVE'!$R$2:$R$1047 &gt;= AO$4)) *
  (ISNUMBER('Regional allocations LIVE'!$D$2:$D$1047)) *
  ('Regional allocations LIVE'!$D$2:$D$1047 &lt;= AO$4)
)</calculatedColumnFormula>
    </tableColumn>
    <tableColumn id="25" xr3:uid="{B7C1CD78-16E4-4591-9BA1-75B032F3A729}" name="30/04/2026" dataDxfId="203" dataCellStyle="Normal 3 2">
      <calculatedColumnFormula array="1">SUMPRODUCT(
  ('Regional allocations LIVE'!$H$2:$H$1047 = $O52) *
  (ISBLANK('Regional allocations LIVE'!$R$2:$R$1047) + ('Regional allocations LIVE'!$R$2:$R$1047 &gt;= AP$4)) *
  (ISNUMBER('Regional allocations LIVE'!$D$2:$D$1047)) *
  ('Regional allocations LIVE'!$D$2:$D$1047 &lt;= AP$4)
)</calculatedColumnFormula>
    </tableColumn>
    <tableColumn id="26" xr3:uid="{A55E76A3-D523-4838-836A-7A182A92DFB2}" name="31/05/2026" dataDxfId="202" dataCellStyle="Normal 3 2">
      <calculatedColumnFormula array="1">SUMPRODUCT(
  ('Regional allocations LIVE'!$H$2:$H$1047 = $O52) *
  (ISBLANK('Regional allocations LIVE'!$R$2:$R$1047) + ('Regional allocations LIVE'!$R$2:$R$1047 &gt;= AQ$4)) *
  (ISNUMBER('Regional allocations LIVE'!$D$2:$D$1047)) *
  ('Regional allocations LIVE'!$D$2:$D$1047 &lt;= AQ$4)
)</calculatedColumnFormula>
    </tableColumn>
    <tableColumn id="27" xr3:uid="{7A5D808B-20E5-42AD-90B9-EDB166C2CCFD}" name="30/06/2026" dataDxfId="201" dataCellStyle="Normal 3 2">
      <calculatedColumnFormula array="1">SUMPRODUCT(
  ('Regional allocations LIVE'!$H$2:$H$1047 = $O52) *
  (ISBLANK('Regional allocations LIVE'!$R$2:$R$1047) + ('Regional allocations LIVE'!$R$2:$R$1047 &gt;= AR$4)) *
  (ISNUMBER('Regional allocations LIVE'!$D$2:$D$1047)) *
  ('Regional allocations LIVE'!$D$2:$D$1047 &lt;= AR$4)
)</calculatedColumnFormula>
    </tableColumn>
    <tableColumn id="28" xr3:uid="{2A4EEF46-770B-4D82-8862-C73CC7C403E7}" name="31/07/2026" dataDxfId="200" dataCellStyle="Normal 3 2">
      <calculatedColumnFormula array="1">SUMPRODUCT(
  ('Regional allocations LIVE'!$H$2:$H$1047 = $O52) *
  (ISBLANK('Regional allocations LIVE'!$R$2:$R$1047) + ('Regional allocations LIVE'!$R$2:$R$1047 &gt;= AS$4)) *
  (ISNUMBER('Regional allocations LIVE'!$D$2:$D$1047)) *
  ('Regional allocations LIVE'!$D$2:$D$1047 &lt;= AS$4)
)</calculatedColumnFormula>
    </tableColumn>
    <tableColumn id="29" xr3:uid="{977797CC-026E-45D7-851C-B4F62D8F2411}" name="31/08/2026" dataDxfId="199" dataCellStyle="Normal 3 2">
      <calculatedColumnFormula array="1">SUMPRODUCT(
  ('Regional allocations LIVE'!$H$2:$H$1047 = $O52) *
  (ISBLANK('Regional allocations LIVE'!$R$2:$R$1047) + ('Regional allocations LIVE'!$R$2:$R$1047 &gt;= AT$4)) *
  (ISNUMBER('Regional allocations LIVE'!$D$2:$D$1047)) *
  ('Regional allocations LIVE'!$D$2:$D$1047 &lt;= AT$4)
)</calculatedColumnFormula>
    </tableColumn>
    <tableColumn id="30" xr3:uid="{36BB4F55-7EE9-4646-9EB9-8F0BE46ECFF5}" name="30/09/2026" dataDxfId="198" dataCellStyle="Normal 3 2">
      <calculatedColumnFormula array="1">SUMPRODUCT(
  ('Regional allocations LIVE'!$H$2:$H$1047 = $O52) *
  (ISBLANK('Regional allocations LIVE'!$R$2:$R$1047) + ('Regional allocations LIVE'!$R$2:$R$1047 &gt;= AU$4)) *
  (ISNUMBER('Regional allocations LIVE'!$D$2:$D$1047)) *
  ('Regional allocations LIVE'!$D$2:$D$1047 &lt;= AU$4)
)</calculatedColumnFormula>
    </tableColumn>
    <tableColumn id="31" xr3:uid="{2C194FE8-0DBC-4944-B6E7-B0D613A2C89E}" name="31/10/2026" dataDxfId="197" dataCellStyle="Normal 3 2">
      <calculatedColumnFormula array="1">SUMPRODUCT(
  ('Regional allocations LIVE'!$H$2:$H$1047 = $O52) *
  (ISBLANK('Regional allocations LIVE'!$R$2:$R$1047) + ('Regional allocations LIVE'!$R$2:$R$1047 &gt;= AV$4)) *
  (ISNUMBER('Regional allocations LIVE'!$D$2:$D$1047)) *
  ('Regional allocations LIVE'!$D$2:$D$1047 &lt;= AV$4)
)</calculatedColumnFormula>
    </tableColumn>
    <tableColumn id="32" xr3:uid="{272776A6-0295-4BDE-9965-9BAC4183D49A}" name="30/11/2026" dataDxfId="196" dataCellStyle="Normal 3 2">
      <calculatedColumnFormula array="1">SUMPRODUCT(
  ('Regional allocations LIVE'!$H$2:$H$1047 = $O52) *
  (ISBLANK('Regional allocations LIVE'!$R$2:$R$1047) + ('Regional allocations LIVE'!$R$2:$R$1047 &gt;= AW$4)) *
  (ISNUMBER('Regional allocations LIVE'!$D$2:$D$1047)) *
  ('Regional allocations LIVE'!$D$2:$D$1047 &lt;= AW$4)
)</calculatedColumnFormula>
    </tableColumn>
    <tableColumn id="33" xr3:uid="{464DC420-340F-4B9D-B63A-38200615F38A}" name="31/12/2026" dataDxfId="195" dataCellStyle="Normal 3 2">
      <calculatedColumnFormula array="1">SUMPRODUCT(
  ('Regional allocations LIVE'!$H$2:$H$1047 = $O52) *
  (ISBLANK('Regional allocations LIVE'!$R$2:$R$1047) + ('Regional allocations LIVE'!$R$2:$R$1047 &gt;= AX$4)) *
  (ISNUMBER('Regional allocations LIVE'!$D$2:$D$1047)) *
  ('Regional allocations LIVE'!$D$2:$D$1047 &lt;= AX$4)
)</calculatedColumnFormula>
    </tableColumn>
    <tableColumn id="34" xr3:uid="{5963385E-AA39-4120-AAED-5CE9E1EBD8F7}" name="30/01/2027" dataDxfId="194" dataCellStyle="Normal 3 2">
      <calculatedColumnFormula array="1">SUMPRODUCT(
  ('Regional allocations LIVE'!$H$2:$H$1047 = $O52) *
  (ISBLANK('Regional allocations LIVE'!$R$2:$R$1047) + ('Regional allocations LIVE'!$R$2:$R$1047 &gt;= AY$4)) *
  (ISNUMBER('Regional allocations LIVE'!$D$2:$D$1047)) *
  ('Regional allocations LIVE'!$D$2:$D$1047 &lt;= AY$4)
)</calculatedColumnFormula>
    </tableColumn>
    <tableColumn id="35" xr3:uid="{3411759B-49CB-4E5F-88EB-09C5BEA4B456}" name="28/02/2027" dataDxfId="193" dataCellStyle="Normal 3 2">
      <calculatedColumnFormula array="1">SUMPRODUCT(
  ('Regional allocations LIVE'!$H$2:$H$1047 = $O52) *
  (ISBLANK('Regional allocations LIVE'!$R$2:$R$1047) + ('Regional allocations LIVE'!$R$2:$R$1047 &gt;= AZ$4)) *
  (ISNUMBER('Regional allocations LIVE'!$D$2:$D$1047)) *
  ('Regional allocations LIVE'!$D$2:$D$1047 &lt;= AZ$4)
)</calculatedColumnFormula>
    </tableColumn>
    <tableColumn id="36" xr3:uid="{22A85129-5CC2-44CC-B011-EE52149D320E}" name="31/03/2027" dataDxfId="192" dataCellStyle="Normal 3 2">
      <calculatedColumnFormula array="1">SUMPRODUCT(
  ('Regional allocations LIVE'!$H$2:$H$1047 = $O52) *
  (ISBLANK('Regional allocations LIVE'!$R$2:$R$1047) + ('Regional allocations LIVE'!$R$2:$R$1047 &gt;= BA$4)) *
  (ISNUMBER('Regional allocations LIVE'!$D$2:$D$1047)) *
  ('Regional allocations LIVE'!$D$2:$D$1047 &lt;= BA$4)
)</calculatedColumnFormula>
    </tableColumn>
    <tableColumn id="37" xr3:uid="{822E6373-884A-459C-AC76-D64409DEE4C7}" name="30/04/2027" dataDxfId="191" dataCellStyle="Normal 3 2">
      <calculatedColumnFormula array="1">SUMPRODUCT(
  ('Regional allocations LIVE'!$H$2:$H$1047 = $O52) *
  (ISBLANK('Regional allocations LIVE'!$R$2:$R$1047) + ('Regional allocations LIVE'!$R$2:$R$1047 &gt;= BB$4)) *
  (ISNUMBER('Regional allocations LIVE'!$D$2:$D$1047)) *
  ('Regional allocations LIVE'!$D$2:$D$1047 &lt;= BB$4)
)</calculatedColumnFormula>
    </tableColumn>
    <tableColumn id="38" xr3:uid="{2024161A-F501-4178-B999-B729A85259EF}" name="31/05/2027" dataDxfId="190" dataCellStyle="Normal 3 2">
      <calculatedColumnFormula array="1">SUMPRODUCT(
  ('Regional allocations LIVE'!$H$2:$H$1047 = $O52) *
  (ISBLANK('Regional allocations LIVE'!$R$2:$R$1047) + ('Regional allocations LIVE'!$R$2:$R$1047 &gt;= BC$4)) *
  (ISNUMBER('Regional allocations LIVE'!$D$2:$D$1047)) *
  ('Regional allocations LIVE'!$D$2:$D$1047 &lt;= BC$4)
)</calculatedColumnFormula>
    </tableColumn>
    <tableColumn id="39" xr3:uid="{91475724-4B54-41A2-B11E-464021467DD5}" name="30/06/2027" dataDxfId="189" dataCellStyle="Normal 3 2">
      <calculatedColumnFormula array="1">SUMPRODUCT(
  ('Regional allocations LIVE'!$H$2:$H$1047 = $O52) *
  (ISBLANK('Regional allocations LIVE'!$R$2:$R$1047) + ('Regional allocations LIVE'!$R$2:$R$1047 &gt;= BD$4)) *
  (ISNUMBER('Regional allocations LIVE'!$D$2:$D$1047)) *
  ('Regional allocations LIVE'!$D$2:$D$1047 &lt;= BD$4)
)</calculatedColumnFormula>
    </tableColumn>
    <tableColumn id="40" xr3:uid="{5E1D6300-15BF-4654-B6D2-CA3C8C8298AD}" name="31/07/2027" dataDxfId="188" dataCellStyle="Normal 3 2">
      <calculatedColumnFormula array="1">SUMPRODUCT(
  ('Regional allocations LIVE'!$H$2:$H$1047 = $O52) *
  (ISBLANK('Regional allocations LIVE'!$R$2:$R$1047) + ('Regional allocations LIVE'!$R$2:$R$1047 &gt;= BE$4)) *
  (ISNUMBER('Regional allocations LIVE'!$D$2:$D$1047)) *
  ('Regional allocations LIVE'!$D$2:$D$1047 &lt;= BE$4)
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8DA013-64EF-488C-81A0-343B18A084EC}" name="Table17" displayName="Table17" ref="A3:V269" totalsRowShown="0" headerRowDxfId="187" dataDxfId="185" headerRowBorderDxfId="186" tableBorderDxfId="184" totalsRowBorderDxfId="183">
  <autoFilter ref="A3:V269" xr:uid="{AE8DA013-64EF-488C-81A0-343B18A084EC}">
    <filterColumn colId="17">
      <filters blank="1">
        <dateGroupItem year="2026" dateTimeGrouping="year"/>
        <dateGroupItem year="2025" month="4" dateTimeGrouping="month"/>
        <dateGroupItem year="2025" month="5" dateTimeGrouping="month"/>
        <dateGroupItem year="2025" month="6" dateTimeGrouping="month"/>
        <dateGroupItem year="2025" month="7" dateTimeGrouping="month"/>
        <dateGroupItem year="2025" month="8" dateTimeGrouping="month"/>
        <dateGroupItem year="2025" month="9" dateTimeGrouping="month"/>
        <dateGroupItem year="2025" month="10" dateTimeGrouping="month"/>
        <dateGroupItem year="2025" month="11" dateTimeGrouping="month"/>
        <dateGroupItem year="2025" month="12" dateTimeGrouping="month"/>
      </filters>
    </filterColumn>
  </autoFilter>
  <sortState xmlns:xlrd2="http://schemas.microsoft.com/office/spreadsheetml/2017/richdata2" ref="A4:V266">
    <sortCondition ref="D3:D266"/>
  </sortState>
  <tableColumns count="22">
    <tableColumn id="1" xr3:uid="{F52C578C-7750-4EB7-BAD9-6E4CD49E2763}" name="Employee ID" dataDxfId="182"/>
    <tableColumn id="17" xr3:uid="{A5416501-4F7D-4A20-9B75-80CBEBC026B0}" name="Surname" dataDxfId="181"/>
    <tableColumn id="2" xr3:uid="{B14194A3-323F-4694-8AF1-DC0E4F8226D5}" name="First Names" dataDxfId="180"/>
    <tableColumn id="3" xr3:uid="{5AA46DA8-52B0-4D64-88DD-96177948CF21}" name="Start" dataDxfId="179"/>
    <tableColumn id="4" xr3:uid="{37510E99-4D71-471E-93CE-CF3B77E71499}" name="Job Title" dataDxfId="178"/>
    <tableColumn id="5" xr3:uid="{75356E71-A9F0-40A3-BBAF-72E179754930}" name="Office" dataDxfId="177"/>
    <tableColumn id="15" xr3:uid="{F6A2B398-7999-4DCE-8FA4-216DD60155F5}" name="Vertical" dataDxfId="176"/>
    <tableColumn id="16" xr3:uid="{EBAEBF3F-8D36-4702-BFC4-1E3D50BE1E3A}" name="Current Region" dataDxfId="175"/>
    <tableColumn id="7" xr3:uid="{D40BDF97-DE84-4C8E-AC4A-2A0B5B7F3B6B}" name="Line manager" dataDxfId="174"/>
    <tableColumn id="11" xr3:uid="{47CE1B6F-F85F-49EB-B178-A05495EF906C}" name="Current project/team - primary" dataDxfId="173"/>
    <tableColumn id="6" xr3:uid="{8A1AFB9A-D0B5-4601-87A2-977B582CCFD2}" name="Day 1 Region" dataDxfId="172"/>
    <tableColumn id="8" xr3:uid="{AF5271EA-AAD7-476E-B763-7764156356C7}" name="New alignment - day 90" dataDxfId="171"/>
    <tableColumn id="9" xr3:uid="{B2A606C7-28B6-4090-9E23-3E7D91F064E5}" name="Transition date" dataDxfId="170"/>
    <tableColumn id="10" xr3:uid="{D78A047D-1A69-4841-B1E7-423D6D8C7960}" name="Transition milestone" dataDxfId="169"/>
    <tableColumn id="12" xr3:uid="{93C01FAA-F33C-4241-8127-96A5AFC68139}" name="Next project" dataDxfId="168"/>
    <tableColumn id="13" xr3:uid="{9ACDB6AB-ABCA-4F93-9335-D60DE9D8859F}" name="Next project date" dataDxfId="167"/>
    <tableColumn id="14" xr3:uid="{92DB266C-B035-42D3-A721-D65EB7166F6A}" name="Notes" dataDxfId="166"/>
    <tableColumn id="18" xr3:uid="{833507FB-B05D-4BDE-A98A-0822EB89B9EB}" name="Leaving Date" dataDxfId="165"/>
    <tableColumn id="19" xr3:uid="{666A1023-BD07-4871-8AE3-C1B4BE76B949}" name="Part Time/ Full Time" dataDxfId="164"/>
    <tableColumn id="21" xr3:uid="{AD1AB8FB-10CB-41DD-8327-99C68DAB6413}" name="FTE" dataDxfId="163"/>
    <tableColumn id="20" xr3:uid="{5B68D486-3D80-48C5-A94B-A3F5A6CAED3C}" name="Contractor" dataDxfId="162"/>
    <tableColumn id="22" xr3:uid="{7249364C-1505-4F0D-A343-0521E194B16D}" name="Gender" dataDxfId="16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0B38649-EBF5-48F0-8739-4AC4488C49EA}" name="jobcat19" displayName="jobcat19" ref="A3:F455" tableType="queryTable" totalsRowShown="0">
  <autoFilter ref="A3:F455" xr:uid="{29741223-C5BB-4571-9A41-D9D8E8F04484}">
    <filterColumn colId="5">
      <filters>
        <filter val="Technical Services"/>
      </filters>
    </filterColumn>
  </autoFilter>
  <sortState xmlns:xlrd2="http://schemas.microsoft.com/office/spreadsheetml/2017/richdata2" ref="A4:F455">
    <sortCondition ref="A3:A455"/>
  </sortState>
  <tableColumns count="6">
    <tableColumn id="1" xr3:uid="{1FABAD26-076C-48EA-83A3-2F248151DD62}" uniqueName="1" name="EmployeeID" queryTableFieldId="1"/>
    <tableColumn id="2" xr3:uid="{16F87D67-F406-4B2A-B7F1-193981D444E9}" uniqueName="2" name="LastName" queryTableFieldId="2" dataDxfId="160"/>
    <tableColumn id="3" xr3:uid="{DD9EAE67-0A08-4214-86E3-3A1CBFCCAEA1}" uniqueName="3" name="FirstName" queryTableFieldId="3" dataDxfId="159"/>
    <tableColumn id="4" xr3:uid="{479F4241-36A4-473C-88E2-A771EC2263C6}" uniqueName="4" name="JobTitle" queryTableFieldId="4" dataDxfId="158"/>
    <tableColumn id="5" xr3:uid="{F0F4C7B1-1A19-4FF1-ADE5-8D1BD4D7438D}" uniqueName="5" name="Pricing category " queryTableFieldId="5" dataDxfId="157"/>
    <tableColumn id="6" xr3:uid="{A66A4830-F791-4B54-A0BD-3DBFD450AE45}" uniqueName="6" name="Service Type" queryTableFieldId="6" dataDxfId="156">
      <calculatedColumnFormula>INDEX($I$3:$I$18,MATCH(jobcat19[[#This Row],[Pricing category ]],$H$3:$H$18,0),1)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6CDEB-9AA4-4053-B1A5-BB6A90CA79B9}" name="Table1" displayName="Table1" ref="A3:N170" totalsRowShown="0" headerRowDxfId="155" dataDxfId="153" headerRowBorderDxfId="154" tableBorderDxfId="152" totalsRowBorderDxfId="151">
  <autoFilter ref="A3:N170" xr:uid="{BBB6CDEB-9AA4-4053-B1A5-BB6A90CA79B9}"/>
  <sortState xmlns:xlrd2="http://schemas.microsoft.com/office/spreadsheetml/2017/richdata2" ref="A4:N170">
    <sortCondition ref="B3:B170"/>
  </sortState>
  <tableColumns count="14">
    <tableColumn id="1" xr3:uid="{B25C2227-33D6-4643-9716-741F40240EE8}" name="Surname" dataDxfId="150"/>
    <tableColumn id="2" xr3:uid="{F9B4C7C8-3425-4162-B4BA-1D5D98650EF4}" name="First Names" dataDxfId="149"/>
    <tableColumn id="3" xr3:uid="{1B7C3C25-697E-4C7B-BF01-19C7131489B9}" name="Start" dataDxfId="148"/>
    <tableColumn id="4" xr3:uid="{0B5D168F-4CE9-45DF-A6EF-F00A026CA8E6}" name="Job Title" dataDxfId="147"/>
    <tableColumn id="5" xr3:uid="{32FFC6DE-B21A-4230-9927-9200E7890577}" name="Office" dataDxfId="146"/>
    <tableColumn id="6" xr3:uid="{E601488F-44BD-4605-9972-79E3FC7F8CA0}" name="Day 1 Region" dataDxfId="145"/>
    <tableColumn id="7" xr3:uid="{B9A6893F-5972-4A30-929B-A09098E82E54}" name="New Line Manager - Day 1 24/5/24" dataDxfId="144"/>
    <tableColumn id="8" xr3:uid="{34F471E1-6923-47AE-B2A6-537645476FCE}" name="New alignment - day 90" dataDxfId="143"/>
    <tableColumn id="9" xr3:uid="{0FF9B050-000C-4CD7-8E77-0C8A3F8F815E}" name="Transition date" dataDxfId="142"/>
    <tableColumn id="10" xr3:uid="{4090B405-5C91-46CA-B899-0A5008700D07}" name="Transition milestone" dataDxfId="141"/>
    <tableColumn id="11" xr3:uid="{7DBC6F43-AF84-4BDC-A646-4F0889E1E8B2}" name="Current project/team - primary" dataDxfId="140"/>
    <tableColumn id="12" xr3:uid="{991D43E5-DFBD-4787-81CF-3AE9905C44F1}" name="Next project" dataDxfId="139"/>
    <tableColumn id="13" xr3:uid="{4EE9C4EB-F231-47AC-8DEC-FD16A310A443}" name="Next project date" dataDxfId="138"/>
    <tableColumn id="14" xr3:uid="{DBEFD970-4506-4B6E-B8F3-7EA6B617EA6F}" name="Notes" dataDxfId="137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D04DC7-C7F1-47D7-A702-B0A667804EA6}" name="Table2" displayName="Table2" ref="A178:N183" totalsRowShown="0" headerRowDxfId="136" dataDxfId="134" headerRowBorderDxfId="135" tableBorderDxfId="133" totalsRowBorderDxfId="132">
  <autoFilter ref="A178:N183" xr:uid="{78D04DC7-C7F1-47D7-A702-B0A667804EA6}"/>
  <tableColumns count="14">
    <tableColumn id="1" xr3:uid="{B220C0C8-8A2B-41FC-A24C-6B46BDCA5644}" name="Surname" dataDxfId="131"/>
    <tableColumn id="2" xr3:uid="{9B0F7345-3EB5-4409-9759-184958EC68D3}" name="First Names" dataDxfId="130"/>
    <tableColumn id="3" xr3:uid="{4C76BEA9-5B04-4D38-9782-B57C87D0E002}" name="Start" dataDxfId="129"/>
    <tableColumn id="4" xr3:uid="{67394D18-D2F3-4E9C-B8F9-BCF44B3E48AC}" name="Job Title" dataDxfId="128"/>
    <tableColumn id="5" xr3:uid="{5A423E3E-CCFD-4981-8024-BA5FC7B767E1}" name="Office" dataDxfId="127"/>
    <tableColumn id="6" xr3:uid="{A91160C4-3083-4489-A468-FC16BAE345CB}" name="Day 1 Region" dataDxfId="126"/>
    <tableColumn id="7" xr3:uid="{58568E74-8440-4C4A-AAD1-12572EDCC638}" name="New Line Manager - Day 1 24/5/24" dataDxfId="125"/>
    <tableColumn id="8" xr3:uid="{1483313D-D072-43B4-891C-CBAE2337C929}" name="New alignment - day 90" dataDxfId="124"/>
    <tableColumn id="9" xr3:uid="{B1E6FA38-CEAA-4359-8C0D-D8E38664FA11}" name="Transition date" dataDxfId="123"/>
    <tableColumn id="10" xr3:uid="{254B8AE4-A3FD-4E33-B63A-EF151CBF02C1}" name="Transition milestone" dataDxfId="122"/>
    <tableColumn id="11" xr3:uid="{FD899777-A5B2-4112-B01A-BAF09B42D5A7}" name="Current project/team - primary" dataDxfId="121"/>
    <tableColumn id="12" xr3:uid="{0DE2027E-B69A-446A-A97F-432606F6B5CA}" name="Next project" dataDxfId="120"/>
    <tableColumn id="13" xr3:uid="{52E34564-098A-46F2-846C-C114A3058D1E}" name="Next project date" dataDxfId="119"/>
    <tableColumn id="14" xr3:uid="{3696EBB1-3633-4F85-AC81-EE5E1D262817}" name="Notes" dataDxfId="118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81FF8-5B31-43EF-BB10-116DD8EFB529}" name="Table3" displayName="Table3" ref="A3:H11" totalsRowShown="0" headerRowDxfId="117" dataDxfId="116">
  <autoFilter ref="A3:H11" xr:uid="{37198C08-2A54-4F8E-8E91-A164F91FB578}"/>
  <tableColumns count="8">
    <tableColumn id="1" xr3:uid="{15A070A0-15E8-4451-9C22-19408C836CCC}" name="Date" dataDxfId="115"/>
    <tableColumn id="2" xr3:uid="{7BCB0793-E0EA-4A99-B360-755BBDF4A9FA}" name="From" dataDxfId="114"/>
    <tableColumn id="3" xr3:uid="{B26CE454-4FB4-401A-87D1-DC4D97CA04DE}" name="Re role/who" dataDxfId="113"/>
    <tableColumn id="5" xr3:uid="{437E7D76-84E9-4B99-AE3C-CD7B85934DD4}" name="To" dataDxfId="112"/>
    <tableColumn id="4" xr3:uid="{F9D61943-D054-4159-93B0-A0B9937BA787}" name="Project / team / details" dataDxfId="111"/>
    <tableColumn id="6" xr3:uid="{3FC20DBF-E455-4939-9606-5B6CD4DEEDAA}" name="Outcome" dataDxfId="110"/>
    <tableColumn id="7" xr3:uid="{295E8F2A-F18F-4A97-BDED-52A5196EB47E}" name="Update" dataDxfId="109"/>
    <tableColumn id="8" xr3:uid="{D9726BDF-B6BC-4BF4-8E67-33640BC8F85F}" name="Notes/options" dataDxfId="108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8323BD-344A-45DD-A0CF-C27329DA9736}" name="Table25" displayName="Table25" ref="A27:H34" totalsRowShown="0" headerRowDxfId="107" dataDxfId="105" headerRowBorderDxfId="106" tableBorderDxfId="104" totalsRowBorderDxfId="103">
  <autoFilter ref="A27:H34" xr:uid="{D4D5B612-35A4-4222-8A79-55B6749EA850}"/>
  <tableColumns count="8">
    <tableColumn id="1" xr3:uid="{B9589424-91E6-45D0-BEDF-A93DA86C0348}" name="Date raised" dataDxfId="102" dataCellStyle="Normal 2"/>
    <tableColumn id="2" xr3:uid="{26789A6C-0C94-4204-92F2-CEA69BEE25CB}" name="Raised by" dataDxfId="101"/>
    <tableColumn id="3" xr3:uid="{5825C2CC-13D8-4A1F-9E22-543D93F4AB28}" name="Who" dataDxfId="100"/>
    <tableColumn id="4" xr3:uid="{0559BDD8-C667-4BFA-B356-E2750BB81A74}" name="Team" dataDxfId="99"/>
    <tableColumn id="5" xr3:uid="{D99BB166-F74F-48CD-9A4E-49ECD1C300BC}" name="Rotation detalis / date" dataDxfId="98"/>
    <tableColumn id="6" xr3:uid="{FCDBEA7F-4238-4173-99D6-E8E8ABAB186C}" name="Rotation date" dataDxfId="97"/>
    <tableColumn id="7" xr3:uid="{EAB9E53C-3D39-42FE-9F20-361F32A54F5F}" name="Outcome" dataDxfId="96"/>
    <tableColumn id="8" xr3:uid="{87CAD216-41D9-4A23-A296-22D786EE4984}" name="Update" dataDxfId="95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C36403-87A0-40C1-BBB6-9EEA4875FD69}" name="Table5" displayName="Table5" ref="A17:H23" totalsRowShown="0" headerRowDxfId="94" dataDxfId="92" headerRowBorderDxfId="93" headerRowCellStyle="Normal 2" dataCellStyle="Normal 2">
  <autoFilter ref="A17:H23" xr:uid="{E4C36403-87A0-40C1-BBB6-9EEA4875FD69}"/>
  <tableColumns count="8">
    <tableColumn id="1" xr3:uid="{B7110168-F092-45F1-8980-65ADC079A651}" name="Date" dataDxfId="91" dataCellStyle="Normal 2"/>
    <tableColumn id="2" xr3:uid="{4B37DBFA-AFEC-43BD-8B8D-DEABF4A9B4FC}" name="From" dataDxfId="90" dataCellStyle="Normal 2"/>
    <tableColumn id="3" xr3:uid="{63BC04AD-BB52-4DEA-9061-DF216482A918}" name="-" dataDxfId="89" dataCellStyle="Normal 2"/>
    <tableColumn id="4" xr3:uid="{7B33C853-AFE7-4FE0-835E-0D9E02A1F3F0}" name="Escalated by" dataDxfId="88" dataCellStyle="Normal 2"/>
    <tableColumn id="5" xr3:uid="{B5558791-4022-4495-A102-9B6ACFFE5404}" name="About" dataDxfId="87" dataCellStyle="Normal 2"/>
    <tableColumn id="6" xr3:uid="{EDEAFDC7-2AC5-45CF-9126-634F5E51F7DF}" name="To" dataDxfId="86" dataCellStyle="Normal 2"/>
    <tableColumn id="7" xr3:uid="{63C0DBB4-0E80-4862-A2E6-6871A3493A7B}" name="Outcome" dataDxfId="85" dataCellStyle="Normal 2"/>
    <tableColumn id="8" xr3:uid="{AFD5CDD7-9E6B-46B6-BDF3-374A72E74F37}" name="Notes" dataDxfId="84" dataCellStyle="Normal 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183EF9-409D-498F-B1EC-EBE66696CC6B}" name="Table8" displayName="Table8" ref="A38:H54" totalsRowShown="0" headerRowDxfId="83" dataDxfId="81" headerRowBorderDxfId="82" headerRowCellStyle="Normal 2" dataCellStyle="Normal 2">
  <autoFilter ref="A38:H54" xr:uid="{F4183EF9-409D-498F-B1EC-EBE66696CC6B}"/>
  <sortState xmlns:xlrd2="http://schemas.microsoft.com/office/spreadsheetml/2017/richdata2" ref="A39:H51">
    <sortCondition ref="A38:A51"/>
  </sortState>
  <tableColumns count="8">
    <tableColumn id="1" xr3:uid="{635FA308-0861-4062-B8EE-F533F85702CF}" name="Date" dataDxfId="80" dataCellStyle="Normal 2"/>
    <tableColumn id="2" xr3:uid="{13D80833-25E8-476C-B649-408ECD329A89}" name="Surname" dataDxfId="79" dataCellStyle="Normal 2"/>
    <tableColumn id="3" xr3:uid="{29A72853-2018-421E-A6D6-BB51404B3CD9}" name="First name" dataDxfId="78" dataCellStyle="Normal 2"/>
    <tableColumn id="4" xr3:uid="{32DE6597-A9FF-494E-9A6D-0D8BE87EE325}" name="From Region" dataDxfId="77" dataCellStyle="Normal 2"/>
    <tableColumn id="5" xr3:uid="{433BBB57-BA23-41BC-A246-760C705E1631}" name="From Project" dataDxfId="76" dataCellStyle="Normal 2"/>
    <tableColumn id="6" xr3:uid="{FA60F4D4-C3D2-4213-8806-8ABC1A55AFE5}" name="To Region" dataDxfId="75" dataCellStyle="Normal 2"/>
    <tableColumn id="7" xr3:uid="{7DB9A1E8-A761-45E8-9578-BC8199A6E5FA}" name="To Project" dataDxfId="74" dataCellStyle="Normal 2"/>
    <tableColumn id="8" xr3:uid="{D3BDA595-0ACD-43B8-AE38-F4117F48CA3D}" name="Reason/Notes/update" dataDxfId="73" dataCellStyle="Normal 2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D9EE2A-E0B5-401A-A061-317C63743364}" name="Table178" displayName="Table178" ref="A3:T201" totalsRowShown="0" headerRowDxfId="72" dataDxfId="70" headerRowBorderDxfId="71" tableBorderDxfId="69" totalsRowBorderDxfId="68">
  <autoFilter ref="A3:T201" xr:uid="{AE8DA013-64EF-488C-81A0-343B18A084EC}">
    <filterColumn colId="17">
      <filters blank="1"/>
    </filterColumn>
  </autoFilter>
  <sortState xmlns:xlrd2="http://schemas.microsoft.com/office/spreadsheetml/2017/richdata2" ref="A4:T183">
    <sortCondition ref="D3:D201"/>
  </sortState>
  <tableColumns count="20">
    <tableColumn id="1" xr3:uid="{7E1825AA-6E3B-42AC-A692-32FCEEC97D23}" name="Employee ID" dataDxfId="67"/>
    <tableColumn id="17" xr3:uid="{6AC3DC78-02DC-436A-94AB-E8EBC9962929}" name="Surname" dataDxfId="66"/>
    <tableColumn id="2" xr3:uid="{1916AA6B-76FB-4D71-ACB8-C7B4FE062EF5}" name="First Names" dataDxfId="65"/>
    <tableColumn id="3" xr3:uid="{5AD1BC7A-0526-4BEC-B6E1-7C7CE38BB521}" name="Start" dataDxfId="64"/>
    <tableColumn id="4" xr3:uid="{CB3B02E1-8605-46F3-A47C-04974D340CDE}" name="Job Title" dataDxfId="63"/>
    <tableColumn id="5" xr3:uid="{8E4D7F44-0736-44B6-AE80-056B7B6B5AD1}" name="Office" dataDxfId="62"/>
    <tableColumn id="15" xr3:uid="{730E2EFB-DFEA-4DCF-B11B-261811D1C604}" name="Vertical" dataDxfId="61"/>
    <tableColumn id="16" xr3:uid="{A4C3AEF3-54D4-4B4B-B3E1-F342D6677583}" name="Current Region" dataDxfId="60"/>
    <tableColumn id="7" xr3:uid="{AA9F6AFF-E0AB-483B-8AF0-4C90965D55FE}" name="Line manager" dataDxfId="59"/>
    <tableColumn id="11" xr3:uid="{662B1F67-5035-47B8-A279-D95CE7A27C67}" name="Current project/team - primary" dataDxfId="58"/>
    <tableColumn id="6" xr3:uid="{AE4E4203-4C18-410B-A72E-A68DFFA1CABB}" name="Day 1 Region" dataDxfId="57"/>
    <tableColumn id="8" xr3:uid="{C0EDD9D0-082B-466C-829B-A38F852E8911}" name="New alignment - day 90" dataDxfId="56"/>
    <tableColumn id="9" xr3:uid="{ECB0E8FC-9E19-4A7F-963E-1D4597CE1F75}" name="Transition date" dataDxfId="55"/>
    <tableColumn id="10" xr3:uid="{29B8E854-0EE9-406D-88AE-F894D1ACA93A}" name="Transition milestone" dataDxfId="54"/>
    <tableColumn id="12" xr3:uid="{3AA95648-E5BB-418C-B7AF-31D78745F49A}" name="Next project" dataDxfId="53"/>
    <tableColumn id="13" xr3:uid="{3FA6AB44-D498-434D-A1A8-7B42DFDC100A}" name="Next project date" dataDxfId="52"/>
    <tableColumn id="14" xr3:uid="{AF8923AF-536C-4AD4-97A7-1F39368EEEAE}" name="Notes" dataDxfId="51"/>
    <tableColumn id="18" xr3:uid="{81416839-4ECC-4CD1-B4C8-2C32E48270CF}" name="Leaving Date" dataDxfId="50"/>
    <tableColumn id="19" xr3:uid="{347A01EE-F91E-496D-A003-9490DEC302BE}" name="Part Time/ Full Time" dataDxfId="49"/>
    <tableColumn id="20" xr3:uid="{B31B3136-AE47-4274-98A8-B6B455EB7C04}" name="Contractor" dataDxfId="48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284AF9-E8BB-46D7-99E5-F37FA915434D}" name="Table1710" displayName="Table1710" ref="B3:Q176" totalsRowShown="0" headerRowDxfId="47" dataDxfId="45" headerRowBorderDxfId="46" tableBorderDxfId="44" totalsRowBorderDxfId="43">
  <autoFilter ref="B3:Q176" xr:uid="{BBB6CDEB-9AA4-4053-B1A5-BB6A90CA79B9}"/>
  <sortState xmlns:xlrd2="http://schemas.microsoft.com/office/spreadsheetml/2017/richdata2" ref="B4:Q176">
    <sortCondition ref="C3:C176"/>
  </sortState>
  <tableColumns count="16">
    <tableColumn id="1" xr3:uid="{6F7B8E94-188A-494B-985E-CB8203139F77}" name="Surname" dataDxfId="42"/>
    <tableColumn id="2" xr3:uid="{6D36D54C-5B6F-475B-A42F-4A385C5138B0}" name="First Names" dataDxfId="41"/>
    <tableColumn id="3" xr3:uid="{1ADE6F86-F229-4E30-AF35-132BBC2D60D6}" name="Start" dataDxfId="40"/>
    <tableColumn id="4" xr3:uid="{33DB6E31-6190-43E6-9C93-285F6CD54367}" name="Job Title" dataDxfId="39"/>
    <tableColumn id="5" xr3:uid="{55A2E3E6-C212-4F40-B1D8-29E604D691A4}" name="Office" dataDxfId="38"/>
    <tableColumn id="15" xr3:uid="{CC934E6A-DCDF-4CB3-B167-C3C47C7CA4EE}" name="Vertical" dataDxfId="37"/>
    <tableColumn id="16" xr3:uid="{33950D02-491F-41E9-80BB-C89D91072D96}" name="Current Region" dataDxfId="36"/>
    <tableColumn id="6" xr3:uid="{FECB9E78-1BA6-4526-9855-063E4EE76772}" name="Day 1 Region" dataDxfId="35"/>
    <tableColumn id="7" xr3:uid="{5DAC065B-48C6-407E-BD6C-47327EB1E1C3}" name="Line manager" dataDxfId="34"/>
    <tableColumn id="8" xr3:uid="{E7FE03A0-46B9-426C-903E-284B53A51412}" name="New alignment - day 90" dataDxfId="33"/>
    <tableColumn id="9" xr3:uid="{B837ADF2-42DB-422D-9583-40BDF5625793}" name="Transition date" dataDxfId="32"/>
    <tableColumn id="10" xr3:uid="{2068EE00-99B6-452E-9BE4-C43983EEE81F}" name="Transition milestone" dataDxfId="31"/>
    <tableColumn id="11" xr3:uid="{A3852A0C-ADBD-4A8D-9667-D7422D0DD42C}" name="Current project/team - primary" dataDxfId="30"/>
    <tableColumn id="12" xr3:uid="{DDA02C1D-50D8-4CF9-9760-8EA4CB954E09}" name="Next project" dataDxfId="29"/>
    <tableColumn id="13" xr3:uid="{AA367BE2-35A1-4D43-B4AA-B82A3402147A}" name="Next project date" dataDxfId="28"/>
    <tableColumn id="14" xr3:uid="{6479E74E-D883-42D0-9732-DB7C28B377BB}" name="Notes" dataDxfId="27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B2AFBF-D9C0-450A-B499-CF595181D6EA}" name="Table2811" displayName="Table2811" ref="B184:O189" totalsRowShown="0" headerRowDxfId="26" dataDxfId="24" headerRowBorderDxfId="25" tableBorderDxfId="23" totalsRowBorderDxfId="22">
  <autoFilter ref="B184:O189" xr:uid="{78D04DC7-C7F1-47D7-A702-B0A667804EA6}"/>
  <tableColumns count="14">
    <tableColumn id="1" xr3:uid="{B94BD53D-31F6-43D2-9059-71DD4E49A00B}" name="Surname" dataDxfId="21"/>
    <tableColumn id="2" xr3:uid="{9C225101-6439-41B9-A273-13E9A92CD492}" name="First Names" dataDxfId="20"/>
    <tableColumn id="3" xr3:uid="{49BE5D76-9202-482A-A1E0-16BEC31C317C}" name="Start" dataDxfId="19"/>
    <tableColumn id="4" xr3:uid="{A62C6D27-E957-440D-B27E-B01E2D95DDD4}" name="Job Title" dataDxfId="18"/>
    <tableColumn id="5" xr3:uid="{44F995FC-2B8C-43BD-B03E-0155FBF214B1}" name="Office" dataDxfId="17"/>
    <tableColumn id="6" xr3:uid="{59165AD1-1253-4B82-B7BD-734AB8AA55D1}" name="Day 1 Region" dataDxfId="16"/>
    <tableColumn id="7" xr3:uid="{70F2D476-1134-4560-8D99-10A3EFF6138B}" name="New Line Manager - Day 1 24/5/24" dataDxfId="15"/>
    <tableColumn id="8" xr3:uid="{99AFA64E-C9DF-4F10-8FA2-89702432A025}" name="New alignment - day 90" dataDxfId="14"/>
    <tableColumn id="9" xr3:uid="{406845EA-99BC-420B-BB86-23F29E45BEB9}" name="Transition date" dataDxfId="13"/>
    <tableColumn id="10" xr3:uid="{7414F18C-3D5E-42F2-8D1C-0DE5A72BF834}" name="Transition milestone" dataDxfId="12"/>
    <tableColumn id="11" xr3:uid="{ACD40D27-3548-4638-86A6-C7DF11C85E9D}" name="Current project/team - primary" dataDxfId="11"/>
    <tableColumn id="12" xr3:uid="{D0D40855-79F5-4A40-A453-C884D5E09D5E}" name="Next project" dataDxfId="10"/>
    <tableColumn id="13" xr3:uid="{DBBA212B-9CF7-4871-A619-1452C44DA850}" name="Next project date" dataDxfId="9"/>
    <tableColumn id="14" xr3:uid="{22CE626E-4AF9-41CA-993A-8F6165DB32B8}" name="Notes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6" dT="2025-07-03T23:44:21.73" personId="{6F001FE2-E837-4EBC-8C8F-7D1FAE62E2BC}" id="{C556FC32-8B80-4662-8D69-B8E5C6EBA349}">
    <text>Calli Mat Leave</text>
  </threadedComment>
  <threadedComment ref="E8" dT="2024-09-08T20:55:54.12" personId="{6F001FE2-E837-4EBC-8C8F-7D1FAE62E2BC}" id="{BB157C93-EC06-4F2E-8739-21453353A00B}">
    <text>Includes 3 VPs</text>
  </threadedComment>
  <threadedComment ref="J8" dT="2025-05-12T21:11:00.61" personId="{6F001FE2-E837-4EBC-8C8F-7D1FAE62E2BC}" id="{A956A42B-A103-421B-839F-D778E7B5726E}">
    <text>2 x Senior Developer 
-backfill Tobias
-backfill Gonzalo
Principal Engineer
- backfill for Ed
Solution architect - backfill for Steven??? 
Backfill for Aidan</text>
  </threadedComment>
  <threadedComment ref="L8" dT="2025-06-27T00:19:12.81" personId="{6F001FE2-E837-4EBC-8C8F-7D1FAE62E2BC}" id="{AE9B41BA-BBA8-4A95-9603-4EF2B2496C3B}">
    <text>Head of Qual and Cloud Arc goes from 5 to 3</text>
  </threadedComment>
  <threadedComment ref="J9" dT="2025-06-03T01:40:26.75" personId="{6F001FE2-E837-4EBC-8C8F-7D1FAE62E2BC}" id="{B4652A88-EE5C-44C0-9153-54AB0B3FB0D7}">
    <text>Bid co-ordinator/ bid-manager. Marketing person</text>
  </threadedComment>
  <threadedComment ref="J10" dT="2025-06-03T01:40:40.42" personId="{6F001FE2-E837-4EBC-8C8F-7D1FAE62E2BC}" id="{6DF7CDE3-B9E5-4E80-8840-E7B6E4B2AB4C}">
    <text xml:space="preserve">Recruitment </text>
  </threadedComment>
  <threadedComment ref="J11" dT="2025-05-12T21:00:13.76" personId="{6F001FE2-E837-4EBC-8C8F-7D1FAE62E2BC}" id="{05A3571D-1942-4595-86D8-F274B75AAAFB}">
    <text>Jersey/ Cyprus BA &amp; 2 Dev and 1 tester (in timezone) for Jersey - backfill for Sai and Fynn
Test Lead - backfill for Jono</text>
  </threadedComment>
  <threadedComment ref="J11" dT="2025-06-03T01:48:49.88" personId="{6F001FE2-E837-4EBC-8C8F-7D1FAE62E2BC}" id="{A0A01515-0780-4510-BD97-13839C91DA09}" parentId="{05A3571D-1942-4595-86D8-F274B75AAAFB}">
    <text xml:space="preserve">Makesh backfill??? Possibly </text>
  </threadedComment>
  <threadedComment ref="J11" dT="2025-06-30T02:38:22.04" personId="{6F001FE2-E837-4EBC-8C8F-7D1FAE62E2BC}" id="{584B960D-A0FB-4447-A9DF-277B97EACC39}" parentId="{05A3571D-1942-4595-86D8-F274B75AAAFB}">
    <text>Offer to Marios for Dev based in Cyprus for Jersey starting 25th Aug</text>
  </threadedComment>
  <threadedComment ref="J11" dT="2025-06-30T02:38:33.30" personId="{6F001FE2-E837-4EBC-8C8F-7D1FAE62E2BC}" id="{8AE9BA8D-5A96-4DFA-B86F-40A0C771D7BF}" parentId="{05A3571D-1942-4595-86D8-F274B75AAAFB}">
    <text>Role for onsite testing?</text>
  </threadedComment>
  <threadedComment ref="J11" dT="2025-06-30T02:40:19.87" personId="{6F001FE2-E837-4EBC-8C8F-7D1FAE62E2BC}" id="{14F112F7-6B10-43E0-A1BA-CB2A10ACEE5F}" parentId="{05A3571D-1942-4595-86D8-F274B75AAAFB}">
    <text>May backfill Mark G for someone for Cyprus Test Auto?</text>
  </threadedComment>
  <threadedComment ref="J11" dT="2025-07-11T00:36:25.11" personId="{6F001FE2-E837-4EBC-8C8F-7D1FAE62E2BC}" id="{77F5EB93-F9E1-405C-B5B1-B445FAB8CEC3}" parentId="{05A3571D-1942-4595-86D8-F274B75AAAFB}">
    <text>Backfill for VP Europe</text>
  </threadedComment>
  <threadedComment ref="K11" dT="2025-06-30T21:30:16.43" personId="{6F001FE2-E837-4EBC-8C8F-7D1FAE62E2BC}" id="{005FD765-F114-4949-96C0-EE4B0EB14FC6}">
    <text>Support developer
Backfill for Mark G</text>
  </threadedComment>
  <threadedComment ref="J12" dT="2025-06-03T01:48:33.86" personId="{6F001FE2-E837-4EBC-8C8F-7D1FAE62E2BC}" id="{6AD7F6CF-1CB1-41F6-85C4-2DFD054A3593}">
    <text>Not backfilling Swapna?</text>
  </threadedComment>
  <threadedComment ref="J13" dT="2025-06-09T02:02:59.60" personId="{6F001FE2-E837-4EBC-8C8F-7D1FAE62E2BC}" id="{C64A76DE-DEA9-4FBF-B7AD-B37A6DB81FEB}">
    <text>Backfill for Shona</text>
  </threadedComment>
  <threadedComment ref="J14" dT="2025-05-12T21:12:07.63" personId="{6F001FE2-E837-4EBC-8C8F-7D1FAE62E2BC}" id="{9266264E-4334-44D8-8449-8D594AEBF4DD}">
    <text>Tester - backfill Dimaz</text>
  </threadedComment>
  <threadedComment ref="J14" dT="2025-06-27T00:08:06.96" personId="{6F001FE2-E837-4EBC-8C8F-7D1FAE62E2BC}" id="{A9F06054-67E0-4B6B-BCA5-B4208439F7A8}" parentId="{9266264E-4334-44D8-8449-8D594AEBF4DD}">
    <text>Need backfill for Liv</text>
  </threadedComment>
  <threadedComment ref="K14" dT="2025-06-27T00:01:41.60" personId="{6F001FE2-E837-4EBC-8C8F-7D1FAE62E2BC}" id="{C560D12A-1FF1-44BA-9E9C-E9CFD5A10FE1}">
    <text xml:space="preserve">Engagement manager
Delivery Lead
3 x devs </text>
  </threadedComment>
  <threadedComment ref="AB18" dT="2025-03-06T21:07:20.59" personId="{6F001FE2-E837-4EBC-8C8F-7D1FAE62E2BC}" id="{2587793D-7433-45A3-A0C6-598ED36BD4FF}">
    <text>Evan Wilson - Head of AI Products</text>
  </threadedComment>
  <threadedComment ref="J20" dT="2024-09-08T20:55:54.12" personId="{6F001FE2-E837-4EBC-8C8F-7D1FAE62E2BC}" id="{30D2B72D-DFA9-40F4-A931-A23503359BC3}">
    <text>Includes 3 VPs</text>
  </threadedComment>
  <threadedComment ref="V29" dT="2024-11-04T03:41:18.19" personId="{6F001FE2-E837-4EBC-8C8F-7D1FAE62E2BC}" id="{842D4219-83C8-4AF3-B24B-3FF5626D0E3B}">
    <text>Cara returning from Mat leave</text>
  </threadedComment>
  <threadedComment ref="Z29" dT="2024-12-04T19:28:42.82" personId="{6F001FE2-E837-4EBC-8C8F-7D1FAE62E2BC}" id="{26FB7555-9188-43E2-9327-B8860C18B6A0}">
    <text>Kyle out to A/P and Richard in</text>
  </threadedComment>
  <threadedComment ref="AE29" dT="2025-06-08T22:41:32.47" personId="{6F001FE2-E837-4EBC-8C8F-7D1FAE62E2BC}" id="{8FB3716F-6CAC-4A8B-AF30-5F7987152B44}">
    <text xml:space="preserve">Tracey and Evan </text>
  </threadedComment>
  <threadedComment ref="T30" dT="2024-11-04T03:41:40.17" personId="{6F001FE2-E837-4EBC-8C8F-7D1FAE62E2BC}" id="{99EE9342-396C-4753-889D-B116F5A9E7E2}">
    <text>Tatiana moving to BDM Americas roles</text>
  </threadedComment>
  <threadedComment ref="AA30" dT="2025-02-18T00:55:41.23" personId="{6F001FE2-E837-4EBC-8C8F-7D1FAE62E2BC}" id="{6B518979-7096-43DA-BD0E-AEC43A513B5D}">
    <text>Alexa</text>
  </threadedComment>
  <threadedComment ref="K31" dT="2025-06-23T04:29:27.60" personId="{6F001FE2-E837-4EBC-8C8F-7D1FAE62E2BC}" id="{E7091C09-EF3E-4D89-8CCA-C3B02AB00E37}">
    <text>Evan, Shona, 2 x grads, Tracey</text>
  </threadedComment>
  <threadedComment ref="AG31" dT="2025-07-31T23:17:38.66" personId="{6F001FE2-E837-4EBC-8C8F-7D1FAE62E2BC}" id="{60ADF6A1-4C19-4FB9-BDD0-C5CC9E97404C}">
    <text>Hayley</text>
  </threadedComment>
  <threadedComment ref="V32" dT="2024-11-04T03:43:41.47" personId="{6F001FE2-E837-4EBC-8C8F-7D1FAE62E2BC}" id="{8E23B86F-C464-4D40-8607-11CCF16DAEAA}">
    <text>Leandro &amp; Sharron</text>
  </threadedComment>
  <threadedComment ref="Z32" dT="2025-01-30T01:56:46.53" personId="{6F001FE2-E837-4EBC-8C8F-7D1FAE62E2BC}" id="{9887D03D-1D9D-4513-838F-B1A6EFDDC8B5}">
    <text>Richard</text>
  </threadedComment>
  <threadedComment ref="AF32" dT="2025-07-16T21:49:40.79" personId="{6F001FE2-E837-4EBC-8C8F-7D1FAE62E2BC}" id="{F395F43A-93D1-42A2-A65E-A3D462DB48C7}">
    <text>Mary coming on Perm in DAC</text>
  </threadedComment>
  <threadedComment ref="S33" dT="2024-11-04T20:32:47.98" personId="{6F001FE2-E837-4EBC-8C8F-7D1FAE62E2BC}" id="{6AF31163-1019-489D-A292-1ACB0EAEF992}">
    <text>Logan, Prateek, Shu</text>
  </threadedComment>
  <threadedComment ref="T33" dT="2024-11-04T03:49:02.16" personId="{6F001FE2-E837-4EBC-8C8F-7D1FAE62E2BC}" id="{9D46807E-FBA1-4034-92DC-8BC41EE79115}">
    <text>Ellie</text>
  </threadedComment>
  <threadedComment ref="U33" dT="2024-11-04T03:55:39.24" personId="{6F001FE2-E837-4EBC-8C8F-7D1FAE62E2BC}" id="{D96D4588-65BE-4B60-85C7-9E45500FC71C}">
    <text>David, Jose, Minor, Gustavo</text>
  </threadedComment>
  <threadedComment ref="X33" dT="2024-11-04T04:01:22.95" personId="{6F001FE2-E837-4EBC-8C8F-7D1FAE62E2BC}" id="{417FD701-3C0C-4484-A3F4-6598D80B906A}">
    <text>Hector</text>
  </threadedComment>
  <threadedComment ref="AC33" dT="2025-04-14T19:42:53.90" personId="{6F001FE2-E837-4EBC-8C8F-7D1FAE62E2BC}" id="{1E174C3D-7EDA-4B65-8577-B6D83922793A}">
    <text>Dan M</text>
  </threadedComment>
  <threadedComment ref="AG33" dT="2025-07-13T20:24:15.24" personId="{6F001FE2-E837-4EBC-8C8F-7D1FAE62E2BC}" id="{C330E392-849F-4E9C-A86F-E538966F4673}">
    <text>Jono E and Pollob</text>
  </threadedComment>
  <threadedComment ref="AE34" dT="2025-06-08T22:41:04.14" personId="{6F001FE2-E837-4EBC-8C8F-7D1FAE62E2BC}" id="{D6EEE4E4-5DA7-4B77-95A0-AD0ECAA4783F}">
    <text xml:space="preserve">Plus Evan minus Shona </text>
  </threadedComment>
  <threadedComment ref="Y35" dT="2024-12-04T19:28:23.56" personId="{6F001FE2-E837-4EBC-8C8F-7D1FAE62E2BC}" id="{FF6C25A9-55B3-4660-84B9-E16F0C1EF3BC}">
    <text>Sakshi</text>
  </threadedComment>
  <threadedComment ref="AG35" dT="2025-08-11T01:22:40.57" personId="{6F001FE2-E837-4EBC-8C8F-7D1FAE62E2BC}" id="{BA545C17-EBAF-46E7-83DA-62DBBE25CA84}">
    <text>Tatiana out and Pollob in</text>
  </threadedComment>
  <threadedComment ref="R37" dT="2024-11-25T19:17:45.67" personId="{6F001FE2-E837-4EBC-8C8F-7D1FAE62E2BC}" id="{CF2BC9EE-B933-4631-886F-1B0A8A69E277}">
    <text>Does not include clever cloud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3" dT="2025-01-13T22:23:58.40" personId="{DC2A8E39-C207-48F9-AADA-79202AD671FC}" id="{7F2BAF29-7131-48B0-9E5D-0D0EFB6ED0BC}">
    <text>Last date as publicised “in the office” and removed from headcount 
(remains private/separate if different payroll arrangement e.g. on leave before employment ends - noted only as explanation if doesn’t reconcile with potential TT data)</text>
  </threadedComment>
  <threadedComment ref="I173" dT="2025-01-14T03:09:33.68" personId="{DC2A8E39-C207-48F9-AADA-79202AD671FC}" id="{21D76B1D-7722-45E4-8CD5-8C90FE8D9A73}">
    <text>Still TBC as are all EU testers still reporting to Steph. Julian and Shona working through this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47" dT="2024-06-24T04:33:02.22" personId="{DC2A8E39-C207-48F9-AADA-79202AD671FC}" id="{55629978-4555-4289-BFC7-27771936F6F5}">
    <text>Fiona, Tripti, Niraj, Steph all to change to Pollob from 1/7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3" dT="2024-08-02T00:36:29.61" personId="{870CF5E3-4F94-42A4-B269-BE3382A6052A}" id="{5942ABCE-D5D3-48D7-8493-7B077A054365}">
    <text>I have added this column as I would like to include this as it makes doing any comparative searches using this data point much easier (i.e. a unique identifier)</text>
  </threadedComment>
  <threadedComment ref="A3" dT="2024-08-02T02:01:33.94" personId="{DC2A8E39-C207-48F9-AADA-79202AD671FC}" id="{FCC065C8-0536-4243-A0D4-CDF7C96AAE4B}" parentId="{5942ABCE-D5D3-48D7-8493-7B077A054365}">
    <text>This is TT employee ID#</text>
  </threadedComment>
  <threadedComment ref="R3" dT="2025-01-13T22:23:58.40" personId="{DC2A8E39-C207-48F9-AADA-79202AD671FC}" id="{48EA1210-A286-4A88-B095-A8BFAE768FAB}">
    <text>Last date as publicised “in the office” and removed from headcount 
(remains private/separate if different payroll arrangement e.g. on leave before employment ends - noted only as explanation if doesn’t reconcile with potential TT data)</text>
  </threadedComment>
  <threadedComment ref="I88" dT="2025-01-14T03:08:58.75" personId="{DC2A8E39-C207-48F9-AADA-79202AD671FC}" id="{80504455-AFD1-4E3D-A26D-AA965762EEB2}">
    <text>Still TBC</text>
  </threadedComment>
  <threadedComment ref="F172" dT="2024-11-12T20:45:12.52" personId="{6F001FE2-E837-4EBC-8C8F-7D1FAE62E2BC}" id="{A000F30A-8044-45BA-BCD5-345F9E218465}">
    <text>Update from 3/1/25</text>
  </threadedComment>
  <threadedComment ref="I173" dT="2025-01-14T03:09:33.68" personId="{DC2A8E39-C207-48F9-AADA-79202AD671FC}" id="{B894628B-879C-4A8B-9F7B-A0E3BD8656E9}">
    <text>Still TBC as are all EU testers still reporting to Steph. Julian and Shona working through this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3" dT="2024-08-02T00:36:29.61" personId="{870CF5E3-4F94-42A4-B269-BE3382A6052A}" id="{499EE506-6299-425B-BDA4-31D2118C2ADD}">
    <text>I have added this column as I would like to include this as it makes doing any comparative searches using this data point much easier (i.e. a unique identifier)</text>
  </threadedComment>
  <threadedComment ref="Q51" dT="2024-07-02T22:27:11.08" personId="{6F001FE2-E837-4EBC-8C8F-7D1FAE62E2BC}" id="{D6B2EA63-FA8D-43DB-A3B1-FEDEEE615E22}">
    <text xml:space="preserve">Linked in said he is working for DT for only 3 months to do hyper care and then moving to London so approx. end date end Sept? </text>
  </threadedComment>
  <threadedComment ref="E163" dT="2024-07-08T20:45:51.06" personId="{6F001FE2-E837-4EBC-8C8F-7D1FAE62E2BC}" id="{1A3F7FE3-022D-4F0D-8610-7499283A17CA}">
    <text xml:space="preserve">Appointed Business Development Manager, Americas 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13" Type="http://schemas.openxmlformats.org/officeDocument/2006/relationships/table" Target="../tables/table9.xml"/><Relationship Id="rId3" Type="http://schemas.openxmlformats.org/officeDocument/2006/relationships/drawing" Target="../drawings/drawing1.xml"/><Relationship Id="rId7" Type="http://schemas.openxmlformats.org/officeDocument/2006/relationships/table" Target="../tables/table3.xml"/><Relationship Id="rId12" Type="http://schemas.openxmlformats.org/officeDocument/2006/relationships/table" Target="../tables/table8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11" Type="http://schemas.openxmlformats.org/officeDocument/2006/relationships/table" Target="../tables/table7.xml"/><Relationship Id="rId5" Type="http://schemas.openxmlformats.org/officeDocument/2006/relationships/table" Target="../tables/table1.xml"/><Relationship Id="rId15" Type="http://schemas.microsoft.com/office/2017/10/relationships/threadedComment" Target="../threadedComments/threadedComment1.xml"/><Relationship Id="rId10" Type="http://schemas.openxmlformats.org/officeDocument/2006/relationships/table" Target="../tables/table6.xml"/><Relationship Id="rId4" Type="http://schemas.openxmlformats.org/officeDocument/2006/relationships/vmlDrawing" Target="../drawings/vmlDrawing1.vml"/><Relationship Id="rId9" Type="http://schemas.openxmlformats.org/officeDocument/2006/relationships/table" Target="../tables/table5.xml"/><Relationship Id="rId1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x:/s/BusinessImprovementPlanningteamBIP-PlanningTeam/EQZSVCrn7i5Opm0jpkbX7XABzywEeFFT3vlGsTfj_g3nGg?e=s0b2T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3.v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../:x:/s/BusinessImprovementPlanningteamBIP-PlanningTeam/EQZSVCrn7i5Opm0jpkbX7XABzywEeFFT3vlGsTfj_g3nGg?e=li1XKw" TargetMode="Externa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5.vml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6261-5106-45BF-AD51-B4CD835229A2}">
  <sheetPr>
    <tabColor theme="0"/>
    <outlinePr summaryBelow="0" summaryRight="0"/>
  </sheetPr>
  <dimension ref="A1:BI105"/>
  <sheetViews>
    <sheetView topLeftCell="Q1" workbookViewId="0">
      <selection activeCell="AK60" sqref="AK60"/>
    </sheetView>
  </sheetViews>
  <sheetFormatPr defaultColWidth="14.42578125" defaultRowHeight="15.75" customHeight="1" outlineLevelCol="1" x14ac:dyDescent="0.2"/>
  <cols>
    <col min="1" max="1" width="5.140625" style="118" customWidth="1"/>
    <col min="2" max="2" width="20.85546875" style="118" bestFit="1" customWidth="1"/>
    <col min="3" max="3" width="17" style="118" bestFit="1" customWidth="1"/>
    <col min="4" max="4" width="10.5703125" style="118" bestFit="1" customWidth="1"/>
    <col min="5" max="5" width="12.85546875" style="119" bestFit="1" customWidth="1"/>
    <col min="6" max="6" width="8" style="119" bestFit="1" customWidth="1"/>
    <col min="7" max="7" width="10.85546875" style="119" bestFit="1" customWidth="1"/>
    <col min="8" max="8" width="7.140625" style="119" bestFit="1" customWidth="1"/>
    <col min="9" max="9" width="13.85546875" style="119" customWidth="1"/>
    <col min="10" max="10" width="22" style="119" customWidth="1"/>
    <col min="11" max="11" width="20.5703125" style="119" customWidth="1"/>
    <col min="12" max="12" width="21.140625" style="119" customWidth="1"/>
    <col min="13" max="13" width="12.140625" style="119" customWidth="1"/>
    <col min="14" max="14" width="26.85546875" style="119" customWidth="1"/>
    <col min="15" max="16" width="13.85546875" style="119" customWidth="1"/>
    <col min="17" max="17" width="25.5703125" style="119" customWidth="1"/>
    <col min="18" max="18" width="21.140625" style="118" customWidth="1" collapsed="1"/>
    <col min="19" max="24" width="14.42578125" style="118" hidden="1" customWidth="1" outlineLevel="1"/>
    <col min="25" max="26" width="14.42578125" style="119" hidden="1" customWidth="1" outlineLevel="1"/>
    <col min="27" max="31" width="14.42578125" style="118" hidden="1" customWidth="1" outlineLevel="1"/>
    <col min="32" max="16384" width="14.42578125" style="118"/>
  </cols>
  <sheetData>
    <row r="1" spans="1:61" s="107" customFormat="1" ht="15" customHeight="1" x14ac:dyDescent="0.7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65"/>
      <c r="Y1" s="150"/>
      <c r="Z1" s="150"/>
    </row>
    <row r="2" spans="1:61" s="109" customFormat="1" ht="30" customHeight="1" x14ac:dyDescent="0.7">
      <c r="A2" s="108"/>
      <c r="B2" s="108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66"/>
      <c r="Y2" s="173"/>
      <c r="Z2" s="173"/>
      <c r="AD2" s="107"/>
      <c r="AE2" s="107"/>
      <c r="AF2" s="107"/>
    </row>
    <row r="3" spans="1:61" s="107" customFormat="1" ht="15" customHeight="1" x14ac:dyDescent="0.7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65"/>
      <c r="Y3" s="150"/>
      <c r="Z3" s="150"/>
    </row>
    <row r="4" spans="1:61" s="107" customFormat="1" ht="15" customHeight="1" x14ac:dyDescent="0.3">
      <c r="A4" s="110"/>
      <c r="B4" s="111"/>
      <c r="C4" s="111"/>
      <c r="D4" s="111"/>
      <c r="E4" s="112"/>
      <c r="F4" s="112"/>
      <c r="Q4" s="149"/>
      <c r="R4" s="111" t="s">
        <v>1</v>
      </c>
      <c r="S4" s="236">
        <f>DATE(YEAR(S$5), MONTH(S$5), 1)</f>
        <v>45444</v>
      </c>
      <c r="T4" s="236">
        <f t="shared" ref="T4:BI4" si="0">DATE(YEAR(T$5), MONTH(T$5), 1)</f>
        <v>45474</v>
      </c>
      <c r="U4" s="236">
        <f t="shared" si="0"/>
        <v>45505</v>
      </c>
      <c r="V4" s="236">
        <f t="shared" si="0"/>
        <v>45536</v>
      </c>
      <c r="W4" s="236">
        <f t="shared" si="0"/>
        <v>45566</v>
      </c>
      <c r="X4" s="236">
        <f t="shared" si="0"/>
        <v>45597</v>
      </c>
      <c r="Y4" s="236">
        <f t="shared" si="0"/>
        <v>45627</v>
      </c>
      <c r="Z4" s="236">
        <f t="shared" si="0"/>
        <v>45658</v>
      </c>
      <c r="AA4" s="236">
        <f t="shared" si="0"/>
        <v>45689</v>
      </c>
      <c r="AB4" s="236">
        <f t="shared" si="0"/>
        <v>45717</v>
      </c>
      <c r="AC4" s="236">
        <f t="shared" si="0"/>
        <v>45748</v>
      </c>
      <c r="AD4" s="236">
        <f t="shared" si="0"/>
        <v>45778</v>
      </c>
      <c r="AE4" s="236">
        <f t="shared" si="0"/>
        <v>45809</v>
      </c>
      <c r="AF4" s="236">
        <f t="shared" si="0"/>
        <v>45839</v>
      </c>
      <c r="AG4" s="236">
        <f t="shared" si="0"/>
        <v>45870</v>
      </c>
      <c r="AH4" s="236">
        <f t="shared" si="0"/>
        <v>45901</v>
      </c>
      <c r="AI4" s="236">
        <f t="shared" si="0"/>
        <v>45931</v>
      </c>
      <c r="AJ4" s="236">
        <f t="shared" si="0"/>
        <v>45962</v>
      </c>
      <c r="AK4" s="236">
        <f t="shared" si="0"/>
        <v>45992</v>
      </c>
      <c r="AL4" s="236">
        <f t="shared" si="0"/>
        <v>46023</v>
      </c>
      <c r="AM4" s="236">
        <f t="shared" si="0"/>
        <v>46054</v>
      </c>
      <c r="AN4" s="236">
        <f t="shared" si="0"/>
        <v>46082</v>
      </c>
      <c r="AO4" s="236">
        <f t="shared" si="0"/>
        <v>46113</v>
      </c>
      <c r="AP4" s="236">
        <f t="shared" si="0"/>
        <v>46143</v>
      </c>
      <c r="AQ4" s="236">
        <f t="shared" si="0"/>
        <v>46174</v>
      </c>
      <c r="AR4" s="236">
        <f t="shared" si="0"/>
        <v>46204</v>
      </c>
      <c r="AS4" s="236">
        <f t="shared" si="0"/>
        <v>46235</v>
      </c>
      <c r="AT4" s="236">
        <f t="shared" si="0"/>
        <v>46266</v>
      </c>
      <c r="AU4" s="236">
        <f t="shared" si="0"/>
        <v>46296</v>
      </c>
      <c r="AV4" s="236">
        <f t="shared" si="0"/>
        <v>46327</v>
      </c>
      <c r="AW4" s="236">
        <f t="shared" si="0"/>
        <v>46357</v>
      </c>
      <c r="AX4" s="236">
        <f t="shared" si="0"/>
        <v>46388</v>
      </c>
      <c r="AY4" s="236">
        <f t="shared" si="0"/>
        <v>46419</v>
      </c>
      <c r="AZ4" s="236">
        <f t="shared" si="0"/>
        <v>46447</v>
      </c>
      <c r="BA4" s="236">
        <f t="shared" si="0"/>
        <v>46478</v>
      </c>
      <c r="BB4" s="236">
        <f t="shared" si="0"/>
        <v>46508</v>
      </c>
      <c r="BC4" s="236">
        <f t="shared" si="0"/>
        <v>46539</v>
      </c>
      <c r="BD4" s="236">
        <f t="shared" si="0"/>
        <v>46569</v>
      </c>
      <c r="BE4" s="236">
        <f t="shared" si="0"/>
        <v>46600</v>
      </c>
      <c r="BF4" s="236">
        <f t="shared" si="0"/>
        <v>46631</v>
      </c>
      <c r="BG4" s="236">
        <f t="shared" si="0"/>
        <v>46661</v>
      </c>
      <c r="BH4" s="236">
        <f t="shared" si="0"/>
        <v>1</v>
      </c>
      <c r="BI4" s="236">
        <f t="shared" si="0"/>
        <v>1</v>
      </c>
    </row>
    <row r="5" spans="1:61" s="107" customFormat="1" ht="20.100000000000001" x14ac:dyDescent="0.4">
      <c r="A5" s="110"/>
      <c r="B5" s="113" t="s">
        <v>2</v>
      </c>
      <c r="C5" s="111"/>
      <c r="D5" s="111"/>
      <c r="E5" s="112"/>
      <c r="F5" s="112"/>
      <c r="H5" s="113" t="s">
        <v>3</v>
      </c>
      <c r="I5" s="111"/>
      <c r="J5" s="111"/>
      <c r="K5" s="111"/>
      <c r="L5" s="119"/>
      <c r="M5" s="119"/>
      <c r="N5" s="119"/>
      <c r="O5" s="112"/>
      <c r="Q5" s="229"/>
      <c r="R5" s="188" t="s">
        <v>4</v>
      </c>
      <c r="S5" s="184" t="s">
        <v>5</v>
      </c>
      <c r="T5" s="184" t="s">
        <v>6</v>
      </c>
      <c r="U5" s="184" t="s">
        <v>7</v>
      </c>
      <c r="V5" s="184" t="s">
        <v>8</v>
      </c>
      <c r="W5" s="184" t="s">
        <v>9</v>
      </c>
      <c r="X5" s="184" t="s">
        <v>10</v>
      </c>
      <c r="Y5" s="184" t="s">
        <v>11</v>
      </c>
      <c r="Z5" s="184" t="s">
        <v>12</v>
      </c>
      <c r="AA5" s="184" t="s">
        <v>13</v>
      </c>
      <c r="AB5" s="184" t="s">
        <v>14</v>
      </c>
      <c r="AC5" s="184" t="s">
        <v>15</v>
      </c>
      <c r="AD5" s="184" t="s">
        <v>16</v>
      </c>
      <c r="AE5" s="184" t="s">
        <v>17</v>
      </c>
      <c r="AF5" s="184" t="s">
        <v>18</v>
      </c>
      <c r="AG5" s="184" t="s">
        <v>19</v>
      </c>
      <c r="AH5" s="184" t="s">
        <v>20</v>
      </c>
      <c r="AI5" s="184" t="s">
        <v>21</v>
      </c>
      <c r="AJ5" s="184" t="s">
        <v>22</v>
      </c>
      <c r="AK5" s="184" t="s">
        <v>23</v>
      </c>
      <c r="AL5" s="184" t="s">
        <v>24</v>
      </c>
      <c r="AM5" s="184" t="s">
        <v>25</v>
      </c>
      <c r="AN5" s="184" t="s">
        <v>26</v>
      </c>
      <c r="AO5" s="184" t="s">
        <v>27</v>
      </c>
      <c r="AP5" s="184" t="s">
        <v>28</v>
      </c>
      <c r="AQ5" s="184" t="s">
        <v>29</v>
      </c>
      <c r="AR5" s="184" t="s">
        <v>30</v>
      </c>
      <c r="AS5" s="184" t="s">
        <v>31</v>
      </c>
      <c r="AT5" s="184" t="s">
        <v>32</v>
      </c>
      <c r="AU5" s="184" t="s">
        <v>33</v>
      </c>
      <c r="AV5" s="184" t="s">
        <v>34</v>
      </c>
      <c r="AW5" s="184" t="s">
        <v>35</v>
      </c>
      <c r="AX5" s="184" t="s">
        <v>36</v>
      </c>
      <c r="AY5" s="184" t="s">
        <v>37</v>
      </c>
      <c r="AZ5" s="184" t="s">
        <v>38</v>
      </c>
      <c r="BA5" s="184" t="s">
        <v>39</v>
      </c>
      <c r="BB5" s="184" t="s">
        <v>40</v>
      </c>
      <c r="BC5" s="184" t="s">
        <v>41</v>
      </c>
      <c r="BD5" s="184" t="s">
        <v>42</v>
      </c>
      <c r="BE5" s="184" t="s">
        <v>43</v>
      </c>
      <c r="BF5" s="184" t="s">
        <v>44</v>
      </c>
      <c r="BG5" s="184" t="s">
        <v>45</v>
      </c>
    </row>
    <row r="6" spans="1:61" s="107" customFormat="1" ht="15" customHeight="1" x14ac:dyDescent="0.3">
      <c r="A6" s="110"/>
      <c r="B6" s="111"/>
      <c r="C6" s="114"/>
      <c r="D6" s="114"/>
      <c r="E6" s="112"/>
      <c r="F6" s="112"/>
      <c r="H6" s="111"/>
      <c r="I6" s="114"/>
      <c r="J6" s="114"/>
      <c r="K6" s="114"/>
      <c r="L6" s="119"/>
      <c r="M6" s="119"/>
      <c r="N6" s="119"/>
      <c r="O6" s="112"/>
      <c r="Q6" s="144"/>
      <c r="R6" s="199" t="s">
        <v>46</v>
      </c>
      <c r="S6" s="200">
        <v>1</v>
      </c>
      <c r="T6" s="200">
        <v>0</v>
      </c>
      <c r="U6" s="200">
        <v>0</v>
      </c>
      <c r="V6" s="200">
        <v>0</v>
      </c>
      <c r="W6" s="203">
        <v>3</v>
      </c>
      <c r="X6" s="204"/>
      <c r="Y6" s="205">
        <v>1</v>
      </c>
      <c r="Z6" s="206"/>
      <c r="AA6" s="207">
        <v>1</v>
      </c>
      <c r="AB6" s="188"/>
      <c r="AC6" s="188">
        <v>1</v>
      </c>
      <c r="AD6" s="188"/>
      <c r="AE6" s="197">
        <v>1</v>
      </c>
      <c r="AF6" s="197">
        <f>SUMIFS('Regional allocations LIVE'!$T:$T,
  'Regional allocations LIVE'!$H:$H, $R6,
  'Regional allocations LIVE'!$R:$R, "&gt;=" &amp; AF$4,
  'Regional allocations LIVE'!$R:$R, "&lt;=" &amp; Table14[[#Headers],[31/07/2025]]
)</f>
        <v>1</v>
      </c>
      <c r="AG6" s="197">
        <f>SUMIFS('Regional allocations LIVE'!$T:$T,
  'Regional allocations LIVE'!$H:$H, $R6,
  'Regional allocations LIVE'!$R:$R, "&gt;=" &amp; AG$4,
  'Regional allocations LIVE'!$R:$R, "&lt;=" &amp; Table14[[#Headers],[31/08/2025]]
)</f>
        <v>1</v>
      </c>
      <c r="AH6" s="197">
        <f>SUMIFS('Regional allocations LIVE'!$T:$T,
  'Regional allocations LIVE'!$H:$H, $R6,
  'Regional allocations LIVE'!$R:$R, "&gt;=" &amp; AH$4,
  'Regional allocations LIVE'!$R:$R, "&lt;=" &amp; Table14[[#Headers],[30/09/2025]]
)</f>
        <v>1.8</v>
      </c>
      <c r="AI6" s="197">
        <f>SUMIFS('Regional allocations LIVE'!$T:$T,
  'Regional allocations LIVE'!$H:$H, $R6,
  'Regional allocations LIVE'!$R:$R, "&gt;=" &amp; AI$4,
  'Regional allocations LIVE'!$R:$R, "&lt;=" &amp; Table14[[#Headers],[31/10/2025]]
)</f>
        <v>0</v>
      </c>
      <c r="AJ6" s="197">
        <f>SUMIFS('Regional allocations LIVE'!$T:$T,
  'Regional allocations LIVE'!$H:$H, $R6,
  'Regional allocations LIVE'!$R:$R, "&gt;=" &amp; AJ$4,
  'Regional allocations LIVE'!$R:$R, "&lt;=" &amp; Table14[[#Headers],[30/11/2025]]
)</f>
        <v>0</v>
      </c>
      <c r="AK6" s="197">
        <f>SUMIFS('Regional allocations LIVE'!$T:$T,
  'Regional allocations LIVE'!$H:$H, $R6,
  'Regional allocations LIVE'!$R:$R, "&gt;=" &amp; AK$4,
  'Regional allocations LIVE'!$R:$R, "&lt;=" &amp; Table14[[#Headers],[31/12/2025]]
)</f>
        <v>0</v>
      </c>
      <c r="AL6" s="197">
        <f>SUMIFS('Regional allocations LIVE'!$T:$T,
  'Regional allocations LIVE'!$H:$H, $R6,
  'Regional allocations LIVE'!$R:$R, "&gt;=" &amp; AL$4,
  'Regional allocations LIVE'!$R:$R, "&lt;=" &amp; Table14[[#Headers],[30/01/2026]]
)</f>
        <v>0</v>
      </c>
      <c r="AM6" s="197">
        <f>SUMIFS('Regional allocations LIVE'!$T:$T,
  'Regional allocations LIVE'!$H:$H, $R6,
  'Regional allocations LIVE'!$R:$R, "&gt;=" &amp; AM$4,
  'Regional allocations LIVE'!$R:$R, "&lt;=" &amp; Table14[[#Headers],[28/02/2026]]
)</f>
        <v>0</v>
      </c>
      <c r="AN6" s="197">
        <f>SUMIFS('Regional allocations LIVE'!$T:$T,
  'Regional allocations LIVE'!$H:$H, $R6,
  'Regional allocations LIVE'!$R:$R, "&gt;=" &amp; AN$4,
  'Regional allocations LIVE'!$R:$R, "&lt;=" &amp; Table14[[#Headers],[31/03/2026]]
)</f>
        <v>0</v>
      </c>
      <c r="AO6" s="197">
        <f>SUMIFS('Regional allocations LIVE'!$T:$T,
  'Regional allocations LIVE'!$H:$H, $R6,
  'Regional allocations LIVE'!$R:$R, "&gt;=" &amp; AO$4,
  'Regional allocations LIVE'!$R:$R, "&lt;=" &amp; Table14[[#Headers],[30/04/2026]]
)</f>
        <v>0</v>
      </c>
      <c r="AP6" s="197">
        <f>SUMIFS('Regional allocations LIVE'!$T:$T,
  'Regional allocations LIVE'!$H:$H, $R6,
  'Regional allocations LIVE'!$R:$R, "&gt;=" &amp; AP$4,
  'Regional allocations LIVE'!$R:$R, "&lt;=" &amp; Table14[[#Headers],[31/05/2026]]
)</f>
        <v>0</v>
      </c>
      <c r="AQ6" s="197">
        <f>SUMIFS('Regional allocations LIVE'!$T:$T,
  'Regional allocations LIVE'!$H:$H, $R6,
  'Regional allocations LIVE'!$R:$R, "&gt;=" &amp; AQ$4,
  'Regional allocations LIVE'!$R:$R, "&lt;=" &amp; Table14[[#Headers],[30/06/2026]]
)</f>
        <v>0</v>
      </c>
      <c r="AR6" s="197">
        <f>SUMIFS('Regional allocations LIVE'!$T:$T,
  'Regional allocations LIVE'!$H:$H, $R6,
  'Regional allocations LIVE'!$R:$R, "&gt;=" &amp; AR$4,
  'Regional allocations LIVE'!$R:$R, "&lt;=" &amp; Table14[[#Headers],[31/07/2026]]
)</f>
        <v>0</v>
      </c>
      <c r="AS6" s="197">
        <f>SUMIFS('Regional allocations LIVE'!$T:$T,
  'Regional allocations LIVE'!$H:$H, $R6,
  'Regional allocations LIVE'!$R:$R, "&gt;=" &amp; AS$4,
  'Regional allocations LIVE'!$R:$R, "&lt;=" &amp; Table14[[#Headers],[31/08/2026]]
)</f>
        <v>0</v>
      </c>
      <c r="AT6" s="197">
        <f>SUMIFS('Regional allocations LIVE'!$T:$T,
  'Regional allocations LIVE'!$H:$H, $R6,
  'Regional allocations LIVE'!$R:$R, "&gt;=" &amp; AT$4,
  'Regional allocations LIVE'!$R:$R, "&lt;=" &amp; Table14[[#Headers],[30/09/2026]]
)</f>
        <v>0</v>
      </c>
      <c r="AU6" s="197">
        <f>SUMIFS('Regional allocations LIVE'!$T:$T,
  'Regional allocations LIVE'!$H:$H, $R6,
  'Regional allocations LIVE'!$R:$R, "&gt;=" &amp; AU$4,
  'Regional allocations LIVE'!$R:$R, "&lt;=" &amp; Table14[[#Headers],[31/10/2026]]
)</f>
        <v>0</v>
      </c>
      <c r="AV6" s="197">
        <f>SUMIFS('Regional allocations LIVE'!$T:$T,
  'Regional allocations LIVE'!$H:$H, $R6,
  'Regional allocations LIVE'!$R:$R, "&gt;=" &amp; AV$4,
  'Regional allocations LIVE'!$R:$R, "&lt;=" &amp; Table14[[#Headers],[30/11/2026]]
)</f>
        <v>0</v>
      </c>
      <c r="AW6" s="197">
        <f>SUMIFS('Regional allocations LIVE'!$T:$T,
  'Regional allocations LIVE'!$H:$H, $R6,
  'Regional allocations LIVE'!$R:$R, "&gt;=" &amp; AW$4,
  'Regional allocations LIVE'!$R:$R, "&lt;=" &amp; Table14[[#Headers],[31/12/2026]]
)</f>
        <v>0</v>
      </c>
      <c r="AX6" s="197">
        <f>SUMIFS('Regional allocations LIVE'!$T:$T,
  'Regional allocations LIVE'!$H:$H, $R6,
  'Regional allocations LIVE'!$R:$R, "&gt;=" &amp; AX$4,
  'Regional allocations LIVE'!$R:$R, "&lt;=" &amp; Table14[[#Headers],[30/01/2027]]
)</f>
        <v>0</v>
      </c>
      <c r="AY6" s="197">
        <f>SUMIFS('Regional allocations LIVE'!$T:$T,
  'Regional allocations LIVE'!$H:$H, $R6,
  'Regional allocations LIVE'!$R:$R, "&gt;=" &amp; AY$4,
  'Regional allocations LIVE'!$R:$R, "&lt;=" &amp; Table14[[#Headers],[28/02/2027]]
)</f>
        <v>0</v>
      </c>
      <c r="AZ6" s="197">
        <f>SUMIFS('Regional allocations LIVE'!$T:$T,
  'Regional allocations LIVE'!$H:$H, $R6,
  'Regional allocations LIVE'!$R:$R, "&gt;=" &amp; AZ$4,
  'Regional allocations LIVE'!$R:$R, "&lt;=" &amp; Table14[[#Headers],[31/03/2027]]
)</f>
        <v>0</v>
      </c>
      <c r="BA6" s="197">
        <f>SUMIFS('Regional allocations LIVE'!$T:$T,
  'Regional allocations LIVE'!$H:$H, $R6,
  'Regional allocations LIVE'!$R:$R, "&gt;=" &amp; BA$4,
  'Regional allocations LIVE'!$R:$R, "&lt;=" &amp; Table14[[#Headers],[30/04/2027]]
)</f>
        <v>0</v>
      </c>
      <c r="BB6" s="197">
        <f>SUMIFS('Regional allocations LIVE'!$T:$T,
  'Regional allocations LIVE'!$H:$H, $R6,
  'Regional allocations LIVE'!$R:$R, "&gt;=" &amp; BB$4,
  'Regional allocations LIVE'!$R:$R, "&lt;=" &amp; Table14[[#Headers],[31/05/2027]]
)</f>
        <v>0</v>
      </c>
      <c r="BC6" s="197">
        <f>SUMIFS('Regional allocations LIVE'!$T:$T,
  'Regional allocations LIVE'!$H:$H, $R6,
  'Regional allocations LIVE'!$R:$R, "&gt;=" &amp; BC$4,
  'Regional allocations LIVE'!$R:$R, "&lt;=" &amp; Table14[[#Headers],[30/06/2027]]
)</f>
        <v>0</v>
      </c>
      <c r="BD6" s="197">
        <f>SUMIFS('Regional allocations LIVE'!$T:$T,
  'Regional allocations LIVE'!$H:$H, $R6,
  'Regional allocations LIVE'!$R:$R, "&gt;=" &amp; BD$4,
  'Regional allocations LIVE'!$R:$R, "&lt;=" &amp; Table14[[#Headers],[31/07/2027]]
)</f>
        <v>0</v>
      </c>
      <c r="BE6" s="197">
        <f>SUMIFS('Regional allocations LIVE'!$T:$T,
  'Regional allocations LIVE'!$H:$H, $R6,
  'Regional allocations LIVE'!$R:$R, "&gt;=" &amp; BE$4,
  'Regional allocations LIVE'!$R:$R, "&lt;=" &amp; Table14[[#Headers],[31/08/2027]]
)</f>
        <v>0</v>
      </c>
      <c r="BF6" s="197">
        <f>SUMIFS('Regional allocations LIVE'!$T:$T,
  'Regional allocations LIVE'!$H:$H, $R6,
  'Regional allocations LIVE'!$R:$R, "&gt;=" &amp; BF$4,
  'Regional allocations LIVE'!$R:$R, "&lt;=" &amp; Table14[[#Headers],[30/09/2027]]
)</f>
        <v>0</v>
      </c>
      <c r="BG6" s="197">
        <f>SUMIFS('Regional allocations LIVE'!$T:$T,
  'Regional allocations LIVE'!$H:$H, $R6,
  'Regional allocations LIVE'!$R:$R, "&gt;=" &amp; BG$4,
  'Regional allocations LIVE'!$R:$R, "&lt;=" &amp; Table14[[#Headers],[31/10/2027]]
)</f>
        <v>0</v>
      </c>
    </row>
    <row r="7" spans="1:61" s="116" customFormat="1" ht="15" customHeight="1" x14ac:dyDescent="0.3">
      <c r="A7" s="115"/>
      <c r="B7" s="124" t="s">
        <v>4</v>
      </c>
      <c r="C7" s="125" t="s">
        <v>47</v>
      </c>
      <c r="D7" s="142"/>
      <c r="E7" s="140" t="s">
        <v>48</v>
      </c>
      <c r="F7" s="112"/>
      <c r="H7" s="124" t="s">
        <v>4</v>
      </c>
      <c r="I7" s="124" t="s">
        <v>47</v>
      </c>
      <c r="J7" s="124" t="s">
        <v>49</v>
      </c>
      <c r="K7" s="124" t="s">
        <v>50</v>
      </c>
      <c r="L7" s="124" t="s">
        <v>51</v>
      </c>
      <c r="M7" s="124" t="s">
        <v>52</v>
      </c>
      <c r="N7" s="124" t="s">
        <v>53</v>
      </c>
      <c r="O7" s="124" t="s">
        <v>54</v>
      </c>
      <c r="R7" s="152" t="s">
        <v>55</v>
      </c>
      <c r="S7" s="153">
        <v>0</v>
      </c>
      <c r="T7" s="153">
        <v>0</v>
      </c>
      <c r="U7" s="153">
        <v>0</v>
      </c>
      <c r="V7" s="153">
        <v>1</v>
      </c>
      <c r="W7" s="154">
        <v>0</v>
      </c>
      <c r="X7" s="169"/>
      <c r="Y7" s="179"/>
      <c r="Z7" s="187"/>
      <c r="AA7" s="189"/>
      <c r="AB7" s="189"/>
      <c r="AC7" s="189"/>
      <c r="AD7" s="189"/>
      <c r="AE7" s="164"/>
      <c r="AF7" s="197">
        <f>SUMIFS('Regional allocations LIVE'!$T:$T,
  'Regional allocations LIVE'!$H:$H, $R7,
  'Regional allocations LIVE'!$R:$R, "&gt;=" &amp; AF$4,
  'Regional allocations LIVE'!$R:$R, "&lt;=" &amp; Table14[[#Headers],[31/07/2025]]
)</f>
        <v>0</v>
      </c>
      <c r="AG7" s="197">
        <f>SUMIFS('Regional allocations LIVE'!$T:$T,
  'Regional allocations LIVE'!$H:$H, $R7,
  'Regional allocations LIVE'!$R:$R, "&gt;=" &amp; AG$4,
  'Regional allocations LIVE'!$R:$R, "&lt;=" &amp; Table14[[#Headers],[31/08/2025]]
)</f>
        <v>0</v>
      </c>
      <c r="AH7" s="197">
        <f>SUMIFS('Regional allocations LIVE'!$T:$T,
  'Regional allocations LIVE'!$H:$H, $R7,
  'Regional allocations LIVE'!$R:$R, "&gt;=" &amp; AH$4,
  'Regional allocations LIVE'!$R:$R, "&lt;=" &amp; Table14[[#Headers],[30/09/2025]]
)</f>
        <v>0</v>
      </c>
      <c r="AI7" s="197">
        <f>SUMIFS('Regional allocations LIVE'!$T:$T,
  'Regional allocations LIVE'!$H:$H, $R7,
  'Regional allocations LIVE'!$R:$R, "&gt;=" &amp; AI$4,
  'Regional allocations LIVE'!$R:$R, "&lt;=" &amp; Table14[[#Headers],[31/10/2025]]
)</f>
        <v>0</v>
      </c>
      <c r="AJ7" s="197">
        <f>SUMIFS('Regional allocations LIVE'!$T:$T,
  'Regional allocations LIVE'!$H:$H, $R7,
  'Regional allocations LIVE'!$R:$R, "&gt;=" &amp; AJ$4,
  'Regional allocations LIVE'!$R:$R, "&lt;=" &amp; Table14[[#Headers],[30/11/2025]]
)</f>
        <v>0</v>
      </c>
      <c r="AK7" s="197">
        <f>SUMIFS('Regional allocations LIVE'!$T:$T,
  'Regional allocations LIVE'!$H:$H, $R7,
  'Regional allocations LIVE'!$R:$R, "&gt;=" &amp; AK$4,
  'Regional allocations LIVE'!$R:$R, "&lt;=" &amp; Table14[[#Headers],[31/12/2025]]
)</f>
        <v>0</v>
      </c>
      <c r="AL7" s="197">
        <f>SUMIFS('Regional allocations LIVE'!$T:$T,
  'Regional allocations LIVE'!$H:$H, $R7,
  'Regional allocations LIVE'!$R:$R, "&gt;=" &amp; AL$4,
  'Regional allocations LIVE'!$R:$R, "&lt;=" &amp; Table14[[#Headers],[30/01/2026]]
)</f>
        <v>0</v>
      </c>
      <c r="AM7" s="197">
        <f>SUMIFS('Regional allocations LIVE'!$T:$T,
  'Regional allocations LIVE'!$H:$H, $R7,
  'Regional allocations LIVE'!$R:$R, "&gt;=" &amp; AM$4,
  'Regional allocations LIVE'!$R:$R, "&lt;=" &amp; Table14[[#Headers],[28/02/2026]]
)</f>
        <v>0</v>
      </c>
      <c r="AN7" s="197">
        <f>SUMIFS('Regional allocations LIVE'!$T:$T,
  'Regional allocations LIVE'!$H:$H, $R7,
  'Regional allocations LIVE'!$R:$R, "&gt;=" &amp; AN$4,
  'Regional allocations LIVE'!$R:$R, "&lt;=" &amp; Table14[[#Headers],[31/03/2026]]
)</f>
        <v>0</v>
      </c>
      <c r="AO7" s="197">
        <f>SUMIFS('Regional allocations LIVE'!$T:$T,
  'Regional allocations LIVE'!$H:$H, $R7,
  'Regional allocations LIVE'!$R:$R, "&gt;=" &amp; AO$4,
  'Regional allocations LIVE'!$R:$R, "&lt;=" &amp; Table14[[#Headers],[30/04/2026]]
)</f>
        <v>0</v>
      </c>
      <c r="AP7" s="197">
        <f>SUMIFS('Regional allocations LIVE'!$T:$T,
  'Regional allocations LIVE'!$H:$H, $R7,
  'Regional allocations LIVE'!$R:$R, "&gt;=" &amp; AP$4,
  'Regional allocations LIVE'!$R:$R, "&lt;=" &amp; Table14[[#Headers],[31/05/2026]]
)</f>
        <v>0</v>
      </c>
      <c r="AQ7" s="197">
        <f>SUMIFS('Regional allocations LIVE'!$T:$T,
  'Regional allocations LIVE'!$H:$H, $R7,
  'Regional allocations LIVE'!$R:$R, "&gt;=" &amp; AQ$4,
  'Regional allocations LIVE'!$R:$R, "&lt;=" &amp; Table14[[#Headers],[30/06/2026]]
)</f>
        <v>0</v>
      </c>
      <c r="AR7" s="197">
        <f>SUMIFS('Regional allocations LIVE'!$T:$T,
  'Regional allocations LIVE'!$H:$H, $R7,
  'Regional allocations LIVE'!$R:$R, "&gt;=" &amp; AR$4,
  'Regional allocations LIVE'!$R:$R, "&lt;=" &amp; Table14[[#Headers],[31/07/2026]]
)</f>
        <v>0</v>
      </c>
      <c r="AS7" s="197">
        <f>SUMIFS('Regional allocations LIVE'!$T:$T,
  'Regional allocations LIVE'!$H:$H, $R7,
  'Regional allocations LIVE'!$R:$R, "&gt;=" &amp; AS$4,
  'Regional allocations LIVE'!$R:$R, "&lt;=" &amp; Table14[[#Headers],[31/08/2026]]
)</f>
        <v>0</v>
      </c>
      <c r="AT7" s="197">
        <f>SUMIFS('Regional allocations LIVE'!$T:$T,
  'Regional allocations LIVE'!$H:$H, $R7,
  'Regional allocations LIVE'!$R:$R, "&gt;=" &amp; AT$4,
  'Regional allocations LIVE'!$R:$R, "&lt;=" &amp; Table14[[#Headers],[30/09/2026]]
)</f>
        <v>0</v>
      </c>
      <c r="AU7" s="197">
        <f>SUMIFS('Regional allocations LIVE'!$T:$T,
  'Regional allocations LIVE'!$H:$H, $R7,
  'Regional allocations LIVE'!$R:$R, "&gt;=" &amp; AU$4,
  'Regional allocations LIVE'!$R:$R, "&lt;=" &amp; Table14[[#Headers],[31/10/2026]]
)</f>
        <v>0</v>
      </c>
      <c r="AV7" s="197">
        <f>SUMIFS('Regional allocations LIVE'!$T:$T,
  'Regional allocations LIVE'!$H:$H, $R7,
  'Regional allocations LIVE'!$R:$R, "&gt;=" &amp; AV$4,
  'Regional allocations LIVE'!$R:$R, "&lt;=" &amp; Table14[[#Headers],[30/11/2026]]
)</f>
        <v>0</v>
      </c>
      <c r="AW7" s="197">
        <f>SUMIFS('Regional allocations LIVE'!$T:$T,
  'Regional allocations LIVE'!$H:$H, $R7,
  'Regional allocations LIVE'!$R:$R, "&gt;=" &amp; AW$4,
  'Regional allocations LIVE'!$R:$R, "&lt;=" &amp; Table14[[#Headers],[31/12/2026]]
)</f>
        <v>0</v>
      </c>
      <c r="AX7" s="197">
        <f>SUMIFS('Regional allocations LIVE'!$T:$T,
  'Regional allocations LIVE'!$H:$H, $R7,
  'Regional allocations LIVE'!$R:$R, "&gt;=" &amp; AX$4,
  'Regional allocations LIVE'!$R:$R, "&lt;=" &amp; Table14[[#Headers],[30/01/2027]]
)</f>
        <v>0</v>
      </c>
      <c r="AY7" s="197">
        <f>SUMIFS('Regional allocations LIVE'!$T:$T,
  'Regional allocations LIVE'!$H:$H, $R7,
  'Regional allocations LIVE'!$R:$R, "&gt;=" &amp; AY$4,
  'Regional allocations LIVE'!$R:$R, "&lt;=" &amp; Table14[[#Headers],[28/02/2027]]
)</f>
        <v>0</v>
      </c>
      <c r="AZ7" s="197">
        <f>SUMIFS('Regional allocations LIVE'!$T:$T,
  'Regional allocations LIVE'!$H:$H, $R7,
  'Regional allocations LIVE'!$R:$R, "&gt;=" &amp; AZ$4,
  'Regional allocations LIVE'!$R:$R, "&lt;=" &amp; Table14[[#Headers],[31/03/2027]]
)</f>
        <v>0</v>
      </c>
      <c r="BA7" s="197">
        <f>SUMIFS('Regional allocations LIVE'!$T:$T,
  'Regional allocations LIVE'!$H:$H, $R7,
  'Regional allocations LIVE'!$R:$R, "&gt;=" &amp; BA$4,
  'Regional allocations LIVE'!$R:$R, "&lt;=" &amp; Table14[[#Headers],[30/04/2027]]
)</f>
        <v>0</v>
      </c>
      <c r="BB7" s="197">
        <f>SUMIFS('Regional allocations LIVE'!$T:$T,
  'Regional allocations LIVE'!$H:$H, $R7,
  'Regional allocations LIVE'!$R:$R, "&gt;=" &amp; BB$4,
  'Regional allocations LIVE'!$R:$R, "&lt;=" &amp; Table14[[#Headers],[31/05/2027]]
)</f>
        <v>0</v>
      </c>
      <c r="BC7" s="197">
        <f>SUMIFS('Regional allocations LIVE'!$T:$T,
  'Regional allocations LIVE'!$H:$H, $R7,
  'Regional allocations LIVE'!$R:$R, "&gt;=" &amp; BC$4,
  'Regional allocations LIVE'!$R:$R, "&lt;=" &amp; Table14[[#Headers],[30/06/2027]]
)</f>
        <v>0</v>
      </c>
      <c r="BD7" s="197">
        <f>SUMIFS('Regional allocations LIVE'!$T:$T,
  'Regional allocations LIVE'!$H:$H, $R7,
  'Regional allocations LIVE'!$R:$R, "&gt;=" &amp; BD$4,
  'Regional allocations LIVE'!$R:$R, "&lt;=" &amp; Table14[[#Headers],[31/07/2027]]
)</f>
        <v>0</v>
      </c>
      <c r="BE7" s="197">
        <f>SUMIFS('Regional allocations LIVE'!$T:$T,
  'Regional allocations LIVE'!$H:$H, $R7,
  'Regional allocations LIVE'!$R:$R, "&gt;=" &amp; BE$4,
  'Regional allocations LIVE'!$R:$R, "&lt;=" &amp; Table14[[#Headers],[31/08/2027]]
)</f>
        <v>0</v>
      </c>
      <c r="BF7" s="197">
        <f>SUMIFS('Regional allocations LIVE'!$T:$T,
  'Regional allocations LIVE'!$H:$H, $R7,
  'Regional allocations LIVE'!$R:$R, "&gt;=" &amp; BF$4,
  'Regional allocations LIVE'!$R:$R, "&lt;=" &amp; Table14[[#Headers],[30/09/2027]]
)</f>
        <v>0</v>
      </c>
      <c r="BG7" s="197">
        <f>SUMIFS('Regional allocations LIVE'!$T:$T,
  'Regional allocations LIVE'!$H:$H, $R7,
  'Regional allocations LIVE'!$R:$R, "&gt;=" &amp; BG$4,
  'Regional allocations LIVE'!$R:$R, "&lt;=" &amp; Table14[[#Headers],[31/10/2027]]
)</f>
        <v>0</v>
      </c>
    </row>
    <row r="8" spans="1:61" ht="15" customHeight="1" x14ac:dyDescent="0.3">
      <c r="A8" s="117"/>
      <c r="B8" s="122" t="s">
        <v>46</v>
      </c>
      <c r="C8" s="156">
        <f>AD40</f>
        <v>42.2</v>
      </c>
      <c r="D8" s="141"/>
      <c r="E8" s="128">
        <f>C11+C12+C14+3</f>
        <v>108.55</v>
      </c>
      <c r="F8" s="112"/>
      <c r="H8" s="122" t="s">
        <v>46</v>
      </c>
      <c r="I8" s="156">
        <f>COUNTIFS('Regional allocations LIVE'!H:H,Table1116[[#This Row],[Business Unit]],'Regional allocations LIVE'!R:R,"")</f>
        <v>36</v>
      </c>
      <c r="J8" s="157">
        <v>4</v>
      </c>
      <c r="K8" s="143"/>
      <c r="L8" s="119">
        <v>3</v>
      </c>
      <c r="M8" s="156">
        <f>COUNTIFS('Regional allocations LIVE'!H:H,Table1116[[#This Row],[Business Unit]],'Regional allocations LIVE'!U:U,"Y",'Regional allocations LIVE'!R:R,"")</f>
        <v>1</v>
      </c>
      <c r="N8" s="137">
        <f>Table1116[[#This Row],[Headcount]]-Table1116[[#This Row],[Contractors]]</f>
        <v>35</v>
      </c>
      <c r="O8" s="137">
        <f>Table1116[[#This Row],[Perm Headcount (minus contractors)]]+Table1116[[#This Row],[Vaccancies to backfill]]+Table1116[[#This Row],[Vaccancies for new roles]]</f>
        <v>39</v>
      </c>
      <c r="R8" s="152" t="s">
        <v>56</v>
      </c>
      <c r="S8" s="153">
        <v>0</v>
      </c>
      <c r="T8" s="153">
        <v>1</v>
      </c>
      <c r="U8" s="153">
        <v>0</v>
      </c>
      <c r="V8" s="153">
        <v>1</v>
      </c>
      <c r="W8" s="154">
        <v>0</v>
      </c>
      <c r="X8" s="169"/>
      <c r="Y8" s="155"/>
      <c r="Z8" s="171">
        <v>1</v>
      </c>
      <c r="AA8" s="164"/>
      <c r="AB8" s="164"/>
      <c r="AC8" s="164">
        <v>1</v>
      </c>
      <c r="AD8" s="164"/>
      <c r="AE8" s="164"/>
      <c r="AF8" s="197">
        <f>SUMIFS('Regional allocations LIVE'!$T:$T,
  'Regional allocations LIVE'!$H:$H, $R8,
  'Regional allocations LIVE'!$R:$R, "&gt;=" &amp; AF$4,
  'Regional allocations LIVE'!$R:$R, "&lt;=" &amp; Table14[[#Headers],[31/07/2025]]
)</f>
        <v>0</v>
      </c>
      <c r="AG8" s="197">
        <f>SUMIFS('Regional allocations LIVE'!$T:$T,
  'Regional allocations LIVE'!$H:$H, $R8,
  'Regional allocations LIVE'!$R:$R, "&gt;=" &amp; AG$4,
  'Regional allocations LIVE'!$R:$R, "&lt;=" &amp; Table14[[#Headers],[31/08/2025]]
)</f>
        <v>0</v>
      </c>
      <c r="AH8" s="197">
        <f>SUMIFS('Regional allocations LIVE'!$T:$T,
  'Regional allocations LIVE'!$H:$H, $R8,
  'Regional allocations LIVE'!$R:$R, "&gt;=" &amp; AH$4,
  'Regional allocations LIVE'!$R:$R, "&lt;=" &amp; Table14[[#Headers],[30/09/2025]]
)</f>
        <v>0</v>
      </c>
      <c r="AI8" s="197">
        <f>SUMIFS('Regional allocations LIVE'!$T:$T,
  'Regional allocations LIVE'!$H:$H, $R8,
  'Regional allocations LIVE'!$R:$R, "&gt;=" &amp; AI$4,
  'Regional allocations LIVE'!$R:$R, "&lt;=" &amp; Table14[[#Headers],[31/10/2025]]
)</f>
        <v>0</v>
      </c>
      <c r="AJ8" s="197">
        <f>SUMIFS('Regional allocations LIVE'!$T:$T,
  'Regional allocations LIVE'!$H:$H, $R8,
  'Regional allocations LIVE'!$R:$R, "&gt;=" &amp; AJ$4,
  'Regional allocations LIVE'!$R:$R, "&lt;=" &amp; Table14[[#Headers],[30/11/2025]]
)</f>
        <v>0</v>
      </c>
      <c r="AK8" s="197">
        <f>SUMIFS('Regional allocations LIVE'!$T:$T,
  'Regional allocations LIVE'!$H:$H, $R8,
  'Regional allocations LIVE'!$R:$R, "&gt;=" &amp; AK$4,
  'Regional allocations LIVE'!$R:$R, "&lt;=" &amp; Table14[[#Headers],[31/12/2025]]
)</f>
        <v>0</v>
      </c>
      <c r="AL8" s="197">
        <f>SUMIFS('Regional allocations LIVE'!$T:$T,
  'Regional allocations LIVE'!$H:$H, $R8,
  'Regional allocations LIVE'!$R:$R, "&gt;=" &amp; AL$4,
  'Regional allocations LIVE'!$R:$R, "&lt;=" &amp; Table14[[#Headers],[30/01/2026]]
)</f>
        <v>0</v>
      </c>
      <c r="AM8" s="197">
        <f>SUMIFS('Regional allocations LIVE'!$T:$T,
  'Regional allocations LIVE'!$H:$H, $R8,
  'Regional allocations LIVE'!$R:$R, "&gt;=" &amp; AM$4,
  'Regional allocations LIVE'!$R:$R, "&lt;=" &amp; Table14[[#Headers],[28/02/2026]]
)</f>
        <v>0</v>
      </c>
      <c r="AN8" s="197">
        <f>SUMIFS('Regional allocations LIVE'!$T:$T,
  'Regional allocations LIVE'!$H:$H, $R8,
  'Regional allocations LIVE'!$R:$R, "&gt;=" &amp; AN$4,
  'Regional allocations LIVE'!$R:$R, "&lt;=" &amp; Table14[[#Headers],[31/03/2026]]
)</f>
        <v>0</v>
      </c>
      <c r="AO8" s="197">
        <f>SUMIFS('Regional allocations LIVE'!$T:$T,
  'Regional allocations LIVE'!$H:$H, $R8,
  'Regional allocations LIVE'!$R:$R, "&gt;=" &amp; AO$4,
  'Regional allocations LIVE'!$R:$R, "&lt;=" &amp; Table14[[#Headers],[30/04/2026]]
)</f>
        <v>0</v>
      </c>
      <c r="AP8" s="197">
        <f>SUMIFS('Regional allocations LIVE'!$T:$T,
  'Regional allocations LIVE'!$H:$H, $R8,
  'Regional allocations LIVE'!$R:$R, "&gt;=" &amp; AP$4,
  'Regional allocations LIVE'!$R:$R, "&lt;=" &amp; Table14[[#Headers],[31/05/2026]]
)</f>
        <v>0</v>
      </c>
      <c r="AQ8" s="197">
        <f>SUMIFS('Regional allocations LIVE'!$T:$T,
  'Regional allocations LIVE'!$H:$H, $R8,
  'Regional allocations LIVE'!$R:$R, "&gt;=" &amp; AQ$4,
  'Regional allocations LIVE'!$R:$R, "&lt;=" &amp; Table14[[#Headers],[30/06/2026]]
)</f>
        <v>0</v>
      </c>
      <c r="AR8" s="197">
        <f>SUMIFS('Regional allocations LIVE'!$T:$T,
  'Regional allocations LIVE'!$H:$H, $R8,
  'Regional allocations LIVE'!$R:$R, "&gt;=" &amp; AR$4,
  'Regional allocations LIVE'!$R:$R, "&lt;=" &amp; Table14[[#Headers],[31/07/2026]]
)</f>
        <v>0</v>
      </c>
      <c r="AS8" s="197">
        <f>SUMIFS('Regional allocations LIVE'!$T:$T,
  'Regional allocations LIVE'!$H:$H, $R8,
  'Regional allocations LIVE'!$R:$R, "&gt;=" &amp; AS$4,
  'Regional allocations LIVE'!$R:$R, "&lt;=" &amp; Table14[[#Headers],[31/08/2026]]
)</f>
        <v>0</v>
      </c>
      <c r="AT8" s="197">
        <f>SUMIFS('Regional allocations LIVE'!$T:$T,
  'Regional allocations LIVE'!$H:$H, $R8,
  'Regional allocations LIVE'!$R:$R, "&gt;=" &amp; AT$4,
  'Regional allocations LIVE'!$R:$R, "&lt;=" &amp; Table14[[#Headers],[30/09/2026]]
)</f>
        <v>0</v>
      </c>
      <c r="AU8" s="197">
        <f>SUMIFS('Regional allocations LIVE'!$T:$T,
  'Regional allocations LIVE'!$H:$H, $R8,
  'Regional allocations LIVE'!$R:$R, "&gt;=" &amp; AU$4,
  'Regional allocations LIVE'!$R:$R, "&lt;=" &amp; Table14[[#Headers],[31/10/2026]]
)</f>
        <v>0</v>
      </c>
      <c r="AV8" s="197">
        <f>SUMIFS('Regional allocations LIVE'!$T:$T,
  'Regional allocations LIVE'!$H:$H, $R8,
  'Regional allocations LIVE'!$R:$R, "&gt;=" &amp; AV$4,
  'Regional allocations LIVE'!$R:$R, "&lt;=" &amp; Table14[[#Headers],[30/11/2026]]
)</f>
        <v>0</v>
      </c>
      <c r="AW8" s="197">
        <f>SUMIFS('Regional allocations LIVE'!$T:$T,
  'Regional allocations LIVE'!$H:$H, $R8,
  'Regional allocations LIVE'!$R:$R, "&gt;=" &amp; AW$4,
  'Regional allocations LIVE'!$R:$R, "&lt;=" &amp; Table14[[#Headers],[31/12/2026]]
)</f>
        <v>0</v>
      </c>
      <c r="AX8" s="197">
        <f>SUMIFS('Regional allocations LIVE'!$T:$T,
  'Regional allocations LIVE'!$H:$H, $R8,
  'Regional allocations LIVE'!$R:$R, "&gt;=" &amp; AX$4,
  'Regional allocations LIVE'!$R:$R, "&lt;=" &amp; Table14[[#Headers],[30/01/2027]]
)</f>
        <v>0</v>
      </c>
      <c r="AY8" s="197">
        <f>SUMIFS('Regional allocations LIVE'!$T:$T,
  'Regional allocations LIVE'!$H:$H, $R8,
  'Regional allocations LIVE'!$R:$R, "&gt;=" &amp; AY$4,
  'Regional allocations LIVE'!$R:$R, "&lt;=" &amp; Table14[[#Headers],[28/02/2027]]
)</f>
        <v>0</v>
      </c>
      <c r="AZ8" s="197">
        <f>SUMIFS('Regional allocations LIVE'!$T:$T,
  'Regional allocations LIVE'!$H:$H, $R8,
  'Regional allocations LIVE'!$R:$R, "&gt;=" &amp; AZ$4,
  'Regional allocations LIVE'!$R:$R, "&lt;=" &amp; Table14[[#Headers],[31/03/2027]]
)</f>
        <v>0</v>
      </c>
      <c r="BA8" s="197">
        <f>SUMIFS('Regional allocations LIVE'!$T:$T,
  'Regional allocations LIVE'!$H:$H, $R8,
  'Regional allocations LIVE'!$R:$R, "&gt;=" &amp; BA$4,
  'Regional allocations LIVE'!$R:$R, "&lt;=" &amp; Table14[[#Headers],[30/04/2027]]
)</f>
        <v>0</v>
      </c>
      <c r="BB8" s="197">
        <f>SUMIFS('Regional allocations LIVE'!$T:$T,
  'Regional allocations LIVE'!$H:$H, $R8,
  'Regional allocations LIVE'!$R:$R, "&gt;=" &amp; BB$4,
  'Regional allocations LIVE'!$R:$R, "&lt;=" &amp; Table14[[#Headers],[31/05/2027]]
)</f>
        <v>0</v>
      </c>
      <c r="BC8" s="197">
        <f>SUMIFS('Regional allocations LIVE'!$T:$T,
  'Regional allocations LIVE'!$H:$H, $R8,
  'Regional allocations LIVE'!$R:$R, "&gt;=" &amp; BC$4,
  'Regional allocations LIVE'!$R:$R, "&lt;=" &amp; Table14[[#Headers],[30/06/2027]]
)</f>
        <v>0</v>
      </c>
      <c r="BD8" s="197">
        <f>SUMIFS('Regional allocations LIVE'!$T:$T,
  'Regional allocations LIVE'!$H:$H, $R8,
  'Regional allocations LIVE'!$R:$R, "&gt;=" &amp; BD$4,
  'Regional allocations LIVE'!$R:$R, "&lt;=" &amp; Table14[[#Headers],[31/07/2027]]
)</f>
        <v>0</v>
      </c>
      <c r="BE8" s="197">
        <f>SUMIFS('Regional allocations LIVE'!$T:$T,
  'Regional allocations LIVE'!$H:$H, $R8,
  'Regional allocations LIVE'!$R:$R, "&gt;=" &amp; BE$4,
  'Regional allocations LIVE'!$R:$R, "&lt;=" &amp; Table14[[#Headers],[31/08/2027]]
)</f>
        <v>0</v>
      </c>
      <c r="BF8" s="197">
        <f>SUMIFS('Regional allocations LIVE'!$T:$T,
  'Regional allocations LIVE'!$H:$H, $R8,
  'Regional allocations LIVE'!$R:$R, "&gt;=" &amp; BF$4,
  'Regional allocations LIVE'!$R:$R, "&lt;=" &amp; Table14[[#Headers],[30/09/2027]]
)</f>
        <v>0</v>
      </c>
      <c r="BG8" s="197">
        <f>SUMIFS('Regional allocations LIVE'!$T:$T,
  'Regional allocations LIVE'!$H:$H, $R8,
  'Regional allocations LIVE'!$R:$R, "&gt;=" &amp; BG$4,
  'Regional allocations LIVE'!$R:$R, "&lt;=" &amp; Table14[[#Headers],[31/10/2027]]
)</f>
        <v>0</v>
      </c>
    </row>
    <row r="9" spans="1:61" ht="15" customHeight="1" x14ac:dyDescent="0.3">
      <c r="A9" s="117"/>
      <c r="B9" s="122" t="s">
        <v>55</v>
      </c>
      <c r="C9" s="156">
        <f t="shared" ref="C9:C14" si="1">AD41</f>
        <v>3</v>
      </c>
      <c r="D9" s="141"/>
      <c r="E9" s="112"/>
      <c r="F9" s="112"/>
      <c r="H9" s="122" t="s">
        <v>55</v>
      </c>
      <c r="I9" s="156">
        <f>COUNTIFS('Regional allocations LIVE'!H:H,Table1116[[#This Row],[Business Unit]],'Regional allocations LIVE'!R:R,"")</f>
        <v>5</v>
      </c>
      <c r="J9" s="119">
        <v>1</v>
      </c>
      <c r="K9" s="143">
        <v>1</v>
      </c>
      <c r="M9" s="156">
        <f>COUNTIFS('Regional allocations LIVE'!H:H,Table1116[[#This Row],[Business Unit]],'Regional allocations LIVE'!U:U,"Y",'Regional allocations LIVE'!R:R,"")</f>
        <v>1</v>
      </c>
      <c r="N9" s="137">
        <f>Table1116[[#This Row],[Headcount]]-Table1116[[#This Row],[Contractors]]</f>
        <v>4</v>
      </c>
      <c r="O9" s="137">
        <f>Table1116[[#This Row],[Perm Headcount (minus contractors)]]+Table1116[[#This Row],[Vaccancies to backfill]]+Table1116[[#This Row],[Vaccancies for new roles]]</f>
        <v>6</v>
      </c>
      <c r="R9" s="152" t="s">
        <v>57</v>
      </c>
      <c r="S9" s="153">
        <v>2</v>
      </c>
      <c r="T9" s="153">
        <v>1</v>
      </c>
      <c r="U9" s="153">
        <v>1</v>
      </c>
      <c r="V9" s="153">
        <v>0</v>
      </c>
      <c r="W9" s="154">
        <v>1</v>
      </c>
      <c r="X9" s="154">
        <v>1</v>
      </c>
      <c r="Y9" s="155"/>
      <c r="Z9" s="171">
        <v>1</v>
      </c>
      <c r="AA9" s="164">
        <v>1</v>
      </c>
      <c r="AB9" s="164">
        <v>1</v>
      </c>
      <c r="AC9" s="164">
        <v>1</v>
      </c>
      <c r="AD9" s="164">
        <v>1</v>
      </c>
      <c r="AE9" s="164">
        <v>2</v>
      </c>
      <c r="AF9" s="197">
        <f>SUMIFS('Regional allocations LIVE'!$T:$T,
  'Regional allocations LIVE'!$H:$H, $R9,
  'Regional allocations LIVE'!$R:$R, "&gt;=" &amp; AF$4,
  'Regional allocations LIVE'!$R:$R, "&lt;=" &amp; Table14[[#Headers],[31/07/2025]]
)</f>
        <v>0</v>
      </c>
      <c r="AG9" s="197">
        <f>SUMIFS('Regional allocations LIVE'!$T:$T,
  'Regional allocations LIVE'!$H:$H, $R9,
  'Regional allocations LIVE'!$R:$R, "&gt;=" &amp; AG$4,
  'Regional allocations LIVE'!$R:$R, "&lt;=" &amp; Table14[[#Headers],[31/08/2025]]
)</f>
        <v>0</v>
      </c>
      <c r="AH9" s="197">
        <f>SUMIFS('Regional allocations LIVE'!$T:$T,
  'Regional allocations LIVE'!$H:$H, $R9,
  'Regional allocations LIVE'!$R:$R, "&gt;=" &amp; AH$4,
  'Regional allocations LIVE'!$R:$R, "&lt;=" &amp; Table14[[#Headers],[30/09/2025]]
)</f>
        <v>0</v>
      </c>
      <c r="AI9" s="197">
        <f>SUMIFS('Regional allocations LIVE'!$T:$T,
  'Regional allocations LIVE'!$H:$H, $R9,
  'Regional allocations LIVE'!$R:$R, "&gt;=" &amp; AI$4,
  'Regional allocations LIVE'!$R:$R, "&lt;=" &amp; Table14[[#Headers],[31/10/2025]]
)</f>
        <v>1</v>
      </c>
      <c r="AJ9" s="197">
        <f>SUMIFS('Regional allocations LIVE'!$T:$T,
  'Regional allocations LIVE'!$H:$H, $R9,
  'Regional allocations LIVE'!$R:$R, "&gt;=" &amp; AJ$4,
  'Regional allocations LIVE'!$R:$R, "&lt;=" &amp; Table14[[#Headers],[30/11/2025]]
)</f>
        <v>0</v>
      </c>
      <c r="AK9" s="197">
        <f>SUMIFS('Regional allocations LIVE'!$T:$T,
  'Regional allocations LIVE'!$H:$H, $R9,
  'Regional allocations LIVE'!$R:$R, "&gt;=" &amp; AK$4,
  'Regional allocations LIVE'!$R:$R, "&lt;=" &amp; Table14[[#Headers],[31/12/2025]]
)</f>
        <v>0</v>
      </c>
      <c r="AL9" s="197">
        <f>SUMIFS('Regional allocations LIVE'!$T:$T,
  'Regional allocations LIVE'!$H:$H, $R9,
  'Regional allocations LIVE'!$R:$R, "&gt;=" &amp; AL$4,
  'Regional allocations LIVE'!$R:$R, "&lt;=" &amp; Table14[[#Headers],[30/01/2026]]
)</f>
        <v>0</v>
      </c>
      <c r="AM9" s="197">
        <f>SUMIFS('Regional allocations LIVE'!$T:$T,
  'Regional allocations LIVE'!$H:$H, $R9,
  'Regional allocations LIVE'!$R:$R, "&gt;=" &amp; AM$4,
  'Regional allocations LIVE'!$R:$R, "&lt;=" &amp; Table14[[#Headers],[28/02/2026]]
)</f>
        <v>0</v>
      </c>
      <c r="AN9" s="197">
        <f>SUMIFS('Regional allocations LIVE'!$T:$T,
  'Regional allocations LIVE'!$H:$H, $R9,
  'Regional allocations LIVE'!$R:$R, "&gt;=" &amp; AN$4,
  'Regional allocations LIVE'!$R:$R, "&lt;=" &amp; Table14[[#Headers],[31/03/2026]]
)</f>
        <v>0</v>
      </c>
      <c r="AO9" s="197">
        <f>SUMIFS('Regional allocations LIVE'!$T:$T,
  'Regional allocations LIVE'!$H:$H, $R9,
  'Regional allocations LIVE'!$R:$R, "&gt;=" &amp; AO$4,
  'Regional allocations LIVE'!$R:$R, "&lt;=" &amp; Table14[[#Headers],[30/04/2026]]
)</f>
        <v>0</v>
      </c>
      <c r="AP9" s="197">
        <f>SUMIFS('Regional allocations LIVE'!$T:$T,
  'Regional allocations LIVE'!$H:$H, $R9,
  'Regional allocations LIVE'!$R:$R, "&gt;=" &amp; AP$4,
  'Regional allocations LIVE'!$R:$R, "&lt;=" &amp; Table14[[#Headers],[31/05/2026]]
)</f>
        <v>0</v>
      </c>
      <c r="AQ9" s="197">
        <f>SUMIFS('Regional allocations LIVE'!$T:$T,
  'Regional allocations LIVE'!$H:$H, $R9,
  'Regional allocations LIVE'!$R:$R, "&gt;=" &amp; AQ$4,
  'Regional allocations LIVE'!$R:$R, "&lt;=" &amp; Table14[[#Headers],[30/06/2026]]
)</f>
        <v>0</v>
      </c>
      <c r="AR9" s="197">
        <f>SUMIFS('Regional allocations LIVE'!$T:$T,
  'Regional allocations LIVE'!$H:$H, $R9,
  'Regional allocations LIVE'!$R:$R, "&gt;=" &amp; AR$4,
  'Regional allocations LIVE'!$R:$R, "&lt;=" &amp; Table14[[#Headers],[31/07/2026]]
)</f>
        <v>0</v>
      </c>
      <c r="AS9" s="197">
        <f>SUMIFS('Regional allocations LIVE'!$T:$T,
  'Regional allocations LIVE'!$H:$H, $R9,
  'Regional allocations LIVE'!$R:$R, "&gt;=" &amp; AS$4,
  'Regional allocations LIVE'!$R:$R, "&lt;=" &amp; Table14[[#Headers],[31/08/2026]]
)</f>
        <v>0</v>
      </c>
      <c r="AT9" s="197">
        <f>SUMIFS('Regional allocations LIVE'!$T:$T,
  'Regional allocations LIVE'!$H:$H, $R9,
  'Regional allocations LIVE'!$R:$R, "&gt;=" &amp; AT$4,
  'Regional allocations LIVE'!$R:$R, "&lt;=" &amp; Table14[[#Headers],[30/09/2026]]
)</f>
        <v>0</v>
      </c>
      <c r="AU9" s="197">
        <f>SUMIFS('Regional allocations LIVE'!$T:$T,
  'Regional allocations LIVE'!$H:$H, $R9,
  'Regional allocations LIVE'!$R:$R, "&gt;=" &amp; AU$4,
  'Regional allocations LIVE'!$R:$R, "&lt;=" &amp; Table14[[#Headers],[31/10/2026]]
)</f>
        <v>0</v>
      </c>
      <c r="AV9" s="197">
        <f>SUMIFS('Regional allocations LIVE'!$T:$T,
  'Regional allocations LIVE'!$H:$H, $R9,
  'Regional allocations LIVE'!$R:$R, "&gt;=" &amp; AV$4,
  'Regional allocations LIVE'!$R:$R, "&lt;=" &amp; Table14[[#Headers],[30/11/2026]]
)</f>
        <v>0</v>
      </c>
      <c r="AW9" s="197">
        <f>SUMIFS('Regional allocations LIVE'!$T:$T,
  'Regional allocations LIVE'!$H:$H, $R9,
  'Regional allocations LIVE'!$R:$R, "&gt;=" &amp; AW$4,
  'Regional allocations LIVE'!$R:$R, "&lt;=" &amp; Table14[[#Headers],[31/12/2026]]
)</f>
        <v>0</v>
      </c>
      <c r="AX9" s="197">
        <f>SUMIFS('Regional allocations LIVE'!$T:$T,
  'Regional allocations LIVE'!$H:$H, $R9,
  'Regional allocations LIVE'!$R:$R, "&gt;=" &amp; AX$4,
  'Regional allocations LIVE'!$R:$R, "&lt;=" &amp; Table14[[#Headers],[30/01/2027]]
)</f>
        <v>0</v>
      </c>
      <c r="AY9" s="197">
        <f>SUMIFS('Regional allocations LIVE'!$T:$T,
  'Regional allocations LIVE'!$H:$H, $R9,
  'Regional allocations LIVE'!$R:$R, "&gt;=" &amp; AY$4,
  'Regional allocations LIVE'!$R:$R, "&lt;=" &amp; Table14[[#Headers],[28/02/2027]]
)</f>
        <v>0</v>
      </c>
      <c r="AZ9" s="197">
        <f>SUMIFS('Regional allocations LIVE'!$T:$T,
  'Regional allocations LIVE'!$H:$H, $R9,
  'Regional allocations LIVE'!$R:$R, "&gt;=" &amp; AZ$4,
  'Regional allocations LIVE'!$R:$R, "&lt;=" &amp; Table14[[#Headers],[31/03/2027]]
)</f>
        <v>0</v>
      </c>
      <c r="BA9" s="197">
        <f>SUMIFS('Regional allocations LIVE'!$T:$T,
  'Regional allocations LIVE'!$H:$H, $R9,
  'Regional allocations LIVE'!$R:$R, "&gt;=" &amp; BA$4,
  'Regional allocations LIVE'!$R:$R, "&lt;=" &amp; Table14[[#Headers],[30/04/2027]]
)</f>
        <v>0</v>
      </c>
      <c r="BB9" s="197">
        <f>SUMIFS('Regional allocations LIVE'!$T:$T,
  'Regional allocations LIVE'!$H:$H, $R9,
  'Regional allocations LIVE'!$R:$R, "&gt;=" &amp; BB$4,
  'Regional allocations LIVE'!$R:$R, "&lt;=" &amp; Table14[[#Headers],[31/05/2027]]
)</f>
        <v>0</v>
      </c>
      <c r="BC9" s="197">
        <f>SUMIFS('Regional allocations LIVE'!$T:$T,
  'Regional allocations LIVE'!$H:$H, $R9,
  'Regional allocations LIVE'!$R:$R, "&gt;=" &amp; BC$4,
  'Regional allocations LIVE'!$R:$R, "&lt;=" &amp; Table14[[#Headers],[30/06/2027]]
)</f>
        <v>0</v>
      </c>
      <c r="BD9" s="197">
        <f>SUMIFS('Regional allocations LIVE'!$T:$T,
  'Regional allocations LIVE'!$H:$H, $R9,
  'Regional allocations LIVE'!$R:$R, "&gt;=" &amp; BD$4,
  'Regional allocations LIVE'!$R:$R, "&lt;=" &amp; Table14[[#Headers],[31/07/2027]]
)</f>
        <v>0</v>
      </c>
      <c r="BE9" s="197">
        <f>SUMIFS('Regional allocations LIVE'!$T:$T,
  'Regional allocations LIVE'!$H:$H, $R9,
  'Regional allocations LIVE'!$R:$R, "&gt;=" &amp; BE$4,
  'Regional allocations LIVE'!$R:$R, "&lt;=" &amp; Table14[[#Headers],[31/08/2027]]
)</f>
        <v>0</v>
      </c>
      <c r="BF9" s="197">
        <f>SUMIFS('Regional allocations LIVE'!$T:$T,
  'Regional allocations LIVE'!$H:$H, $R9,
  'Regional allocations LIVE'!$R:$R, "&gt;=" &amp; BF$4,
  'Regional allocations LIVE'!$R:$R, "&lt;=" &amp; Table14[[#Headers],[30/09/2027]]
)</f>
        <v>0</v>
      </c>
      <c r="BG9" s="197">
        <f>SUMIFS('Regional allocations LIVE'!$T:$T,
  'Regional allocations LIVE'!$H:$H, $R9,
  'Regional allocations LIVE'!$R:$R, "&gt;=" &amp; BG$4,
  'Regional allocations LIVE'!$R:$R, "&lt;=" &amp; Table14[[#Headers],[31/10/2027]]
)</f>
        <v>0</v>
      </c>
    </row>
    <row r="10" spans="1:61" ht="15" customHeight="1" x14ac:dyDescent="0.3">
      <c r="A10" s="117"/>
      <c r="B10" s="122" t="s">
        <v>56</v>
      </c>
      <c r="C10" s="156">
        <f t="shared" si="1"/>
        <v>16</v>
      </c>
      <c r="D10" s="141"/>
      <c r="E10" s="140" t="s">
        <v>58</v>
      </c>
      <c r="F10" s="112"/>
      <c r="H10" s="122" t="s">
        <v>56</v>
      </c>
      <c r="I10" s="156">
        <f>COUNTIFS('Regional allocations LIVE'!H:H,Table1116[[#This Row],[Business Unit]],'Regional allocations LIVE'!R:R,"")</f>
        <v>16</v>
      </c>
      <c r="J10" s="119">
        <v>1</v>
      </c>
      <c r="K10" s="143"/>
      <c r="M10" s="156">
        <f>COUNTIFS('Regional allocations LIVE'!H:H,Table1116[[#This Row],[Business Unit]],'Regional allocations LIVE'!U:U,"Y",'Regional allocations LIVE'!R:R,"")</f>
        <v>0</v>
      </c>
      <c r="N10" s="137">
        <f>Table1116[[#This Row],[Headcount]]-Table1116[[#This Row],[Contractors]]</f>
        <v>16</v>
      </c>
      <c r="O10" s="137">
        <f>Table1116[[#This Row],[Perm Headcount (minus contractors)]]+Table1116[[#This Row],[Vaccancies to backfill]]+Table1116[[#This Row],[Vaccancies for new roles]]</f>
        <v>17</v>
      </c>
      <c r="R10" s="152" t="s">
        <v>59</v>
      </c>
      <c r="S10" s="153">
        <v>0</v>
      </c>
      <c r="T10" s="153">
        <v>0</v>
      </c>
      <c r="U10" s="153">
        <v>0</v>
      </c>
      <c r="V10" s="153">
        <v>1</v>
      </c>
      <c r="W10" s="154">
        <v>0</v>
      </c>
      <c r="X10" s="169"/>
      <c r="Y10" s="155">
        <v>1</v>
      </c>
      <c r="Z10" s="171">
        <v>2</v>
      </c>
      <c r="AA10" s="164"/>
      <c r="AB10" s="164"/>
      <c r="AC10" s="164"/>
      <c r="AD10" s="164"/>
      <c r="AE10" s="164">
        <v>1</v>
      </c>
      <c r="AF10" s="197">
        <f>SUMIFS('Regional allocations LIVE'!$T:$T,
  'Regional allocations LIVE'!$H:$H, $R10,
  'Regional allocations LIVE'!$R:$R, "&gt;=" &amp; AF$4,
  'Regional allocations LIVE'!$R:$R, "&lt;=" &amp; Table14[[#Headers],[31/07/2025]]
)</f>
        <v>0</v>
      </c>
      <c r="AG10" s="197">
        <f>SUMIFS('Regional allocations LIVE'!$T:$T,
  'Regional allocations LIVE'!$H:$H, $R10,
  'Regional allocations LIVE'!$R:$R, "&gt;=" &amp; AG$4,
  'Regional allocations LIVE'!$R:$R, "&lt;=" &amp; Table14[[#Headers],[31/08/2025]]
)</f>
        <v>0</v>
      </c>
      <c r="AH10" s="197">
        <f>SUMIFS('Regional allocations LIVE'!$T:$T,
  'Regional allocations LIVE'!$H:$H, $R10,
  'Regional allocations LIVE'!$R:$R, "&gt;=" &amp; AH$4,
  'Regional allocations LIVE'!$R:$R, "&lt;=" &amp; Table14[[#Headers],[30/09/2025]]
)</f>
        <v>0</v>
      </c>
      <c r="AI10" s="197">
        <f>SUMIFS('Regional allocations LIVE'!$T:$T,
  'Regional allocations LIVE'!$H:$H, $R10,
  'Regional allocations LIVE'!$R:$R, "&gt;=" &amp; AI$4,
  'Regional allocations LIVE'!$R:$R, "&lt;=" &amp; Table14[[#Headers],[31/10/2025]]
)</f>
        <v>0</v>
      </c>
      <c r="AJ10" s="197">
        <f>SUMIFS('Regional allocations LIVE'!$T:$T,
  'Regional allocations LIVE'!$H:$H, $R10,
  'Regional allocations LIVE'!$R:$R, "&gt;=" &amp; AJ$4,
  'Regional allocations LIVE'!$R:$R, "&lt;=" &amp; Table14[[#Headers],[30/11/2025]]
)</f>
        <v>0</v>
      </c>
      <c r="AK10" s="197">
        <f>SUMIFS('Regional allocations LIVE'!$T:$T,
  'Regional allocations LIVE'!$H:$H, $R10,
  'Regional allocations LIVE'!$R:$R, "&gt;=" &amp; AK$4,
  'Regional allocations LIVE'!$R:$R, "&lt;=" &amp; Table14[[#Headers],[31/12/2025]]
)</f>
        <v>0</v>
      </c>
      <c r="AL10" s="197">
        <f>SUMIFS('Regional allocations LIVE'!$T:$T,
  'Regional allocations LIVE'!$H:$H, $R10,
  'Regional allocations LIVE'!$R:$R, "&gt;=" &amp; AL$4,
  'Regional allocations LIVE'!$R:$R, "&lt;=" &amp; Table14[[#Headers],[30/01/2026]]
)</f>
        <v>0</v>
      </c>
      <c r="AM10" s="197">
        <f>SUMIFS('Regional allocations LIVE'!$T:$T,
  'Regional allocations LIVE'!$H:$H, $R10,
  'Regional allocations LIVE'!$R:$R, "&gt;=" &amp; AM$4,
  'Regional allocations LIVE'!$R:$R, "&lt;=" &amp; Table14[[#Headers],[28/02/2026]]
)</f>
        <v>0</v>
      </c>
      <c r="AN10" s="197">
        <f>SUMIFS('Regional allocations LIVE'!$T:$T,
  'Regional allocations LIVE'!$H:$H, $R10,
  'Regional allocations LIVE'!$R:$R, "&gt;=" &amp; AN$4,
  'Regional allocations LIVE'!$R:$R, "&lt;=" &amp; Table14[[#Headers],[31/03/2026]]
)</f>
        <v>0</v>
      </c>
      <c r="AO10" s="197">
        <f>SUMIFS('Regional allocations LIVE'!$T:$T,
  'Regional allocations LIVE'!$H:$H, $R10,
  'Regional allocations LIVE'!$R:$R, "&gt;=" &amp; AO$4,
  'Regional allocations LIVE'!$R:$R, "&lt;=" &amp; Table14[[#Headers],[30/04/2026]]
)</f>
        <v>0</v>
      </c>
      <c r="AP10" s="197">
        <f>SUMIFS('Regional allocations LIVE'!$T:$T,
  'Regional allocations LIVE'!$H:$H, $R10,
  'Regional allocations LIVE'!$R:$R, "&gt;=" &amp; AP$4,
  'Regional allocations LIVE'!$R:$R, "&lt;=" &amp; Table14[[#Headers],[31/05/2026]]
)</f>
        <v>0</v>
      </c>
      <c r="AQ10" s="197">
        <f>SUMIFS('Regional allocations LIVE'!$T:$T,
  'Regional allocations LIVE'!$H:$H, $R10,
  'Regional allocations LIVE'!$R:$R, "&gt;=" &amp; AQ$4,
  'Regional allocations LIVE'!$R:$R, "&lt;=" &amp; Table14[[#Headers],[30/06/2026]]
)</f>
        <v>0</v>
      </c>
      <c r="AR10" s="197">
        <f>SUMIFS('Regional allocations LIVE'!$T:$T,
  'Regional allocations LIVE'!$H:$H, $R10,
  'Regional allocations LIVE'!$R:$R, "&gt;=" &amp; AR$4,
  'Regional allocations LIVE'!$R:$R, "&lt;=" &amp; Table14[[#Headers],[31/07/2026]]
)</f>
        <v>0</v>
      </c>
      <c r="AS10" s="197">
        <f>SUMIFS('Regional allocations LIVE'!$T:$T,
  'Regional allocations LIVE'!$H:$H, $R10,
  'Regional allocations LIVE'!$R:$R, "&gt;=" &amp; AS$4,
  'Regional allocations LIVE'!$R:$R, "&lt;=" &amp; Table14[[#Headers],[31/08/2026]]
)</f>
        <v>0</v>
      </c>
      <c r="AT10" s="197">
        <f>SUMIFS('Regional allocations LIVE'!$T:$T,
  'Regional allocations LIVE'!$H:$H, $R10,
  'Regional allocations LIVE'!$R:$R, "&gt;=" &amp; AT$4,
  'Regional allocations LIVE'!$R:$R, "&lt;=" &amp; Table14[[#Headers],[30/09/2026]]
)</f>
        <v>0</v>
      </c>
      <c r="AU10" s="197">
        <f>SUMIFS('Regional allocations LIVE'!$T:$T,
  'Regional allocations LIVE'!$H:$H, $R10,
  'Regional allocations LIVE'!$R:$R, "&gt;=" &amp; AU$4,
  'Regional allocations LIVE'!$R:$R, "&lt;=" &amp; Table14[[#Headers],[31/10/2026]]
)</f>
        <v>0</v>
      </c>
      <c r="AV10" s="197">
        <f>SUMIFS('Regional allocations LIVE'!$T:$T,
  'Regional allocations LIVE'!$H:$H, $R10,
  'Regional allocations LIVE'!$R:$R, "&gt;=" &amp; AV$4,
  'Regional allocations LIVE'!$R:$R, "&lt;=" &amp; Table14[[#Headers],[30/11/2026]]
)</f>
        <v>0</v>
      </c>
      <c r="AW10" s="197">
        <f>SUMIFS('Regional allocations LIVE'!$T:$T,
  'Regional allocations LIVE'!$H:$H, $R10,
  'Regional allocations LIVE'!$R:$R, "&gt;=" &amp; AW$4,
  'Regional allocations LIVE'!$R:$R, "&lt;=" &amp; Table14[[#Headers],[31/12/2026]]
)</f>
        <v>0</v>
      </c>
      <c r="AX10" s="197">
        <f>SUMIFS('Regional allocations LIVE'!$T:$T,
  'Regional allocations LIVE'!$H:$H, $R10,
  'Regional allocations LIVE'!$R:$R, "&gt;=" &amp; AX$4,
  'Regional allocations LIVE'!$R:$R, "&lt;=" &amp; Table14[[#Headers],[30/01/2027]]
)</f>
        <v>0</v>
      </c>
      <c r="AY10" s="197">
        <f>SUMIFS('Regional allocations LIVE'!$T:$T,
  'Regional allocations LIVE'!$H:$H, $R10,
  'Regional allocations LIVE'!$R:$R, "&gt;=" &amp; AY$4,
  'Regional allocations LIVE'!$R:$R, "&lt;=" &amp; Table14[[#Headers],[28/02/2027]]
)</f>
        <v>0</v>
      </c>
      <c r="AZ10" s="197">
        <f>SUMIFS('Regional allocations LIVE'!$T:$T,
  'Regional allocations LIVE'!$H:$H, $R10,
  'Regional allocations LIVE'!$R:$R, "&gt;=" &amp; AZ$4,
  'Regional allocations LIVE'!$R:$R, "&lt;=" &amp; Table14[[#Headers],[31/03/2027]]
)</f>
        <v>0</v>
      </c>
      <c r="BA10" s="197">
        <f>SUMIFS('Regional allocations LIVE'!$T:$T,
  'Regional allocations LIVE'!$H:$H, $R10,
  'Regional allocations LIVE'!$R:$R, "&gt;=" &amp; BA$4,
  'Regional allocations LIVE'!$R:$R, "&lt;=" &amp; Table14[[#Headers],[30/04/2027]]
)</f>
        <v>0</v>
      </c>
      <c r="BB10" s="197">
        <f>SUMIFS('Regional allocations LIVE'!$T:$T,
  'Regional allocations LIVE'!$H:$H, $R10,
  'Regional allocations LIVE'!$R:$R, "&gt;=" &amp; BB$4,
  'Regional allocations LIVE'!$R:$R, "&lt;=" &amp; Table14[[#Headers],[31/05/2027]]
)</f>
        <v>0</v>
      </c>
      <c r="BC10" s="197">
        <f>SUMIFS('Regional allocations LIVE'!$T:$T,
  'Regional allocations LIVE'!$H:$H, $R10,
  'Regional allocations LIVE'!$R:$R, "&gt;=" &amp; BC$4,
  'Regional allocations LIVE'!$R:$R, "&lt;=" &amp; Table14[[#Headers],[30/06/2027]]
)</f>
        <v>0</v>
      </c>
      <c r="BD10" s="197">
        <f>SUMIFS('Regional allocations LIVE'!$T:$T,
  'Regional allocations LIVE'!$H:$H, $R10,
  'Regional allocations LIVE'!$R:$R, "&gt;=" &amp; BD$4,
  'Regional allocations LIVE'!$R:$R, "&lt;=" &amp; Table14[[#Headers],[31/07/2027]]
)</f>
        <v>0</v>
      </c>
      <c r="BE10" s="197">
        <f>SUMIFS('Regional allocations LIVE'!$T:$T,
  'Regional allocations LIVE'!$H:$H, $R10,
  'Regional allocations LIVE'!$R:$R, "&gt;=" &amp; BE$4,
  'Regional allocations LIVE'!$R:$R, "&lt;=" &amp; Table14[[#Headers],[31/08/2027]]
)</f>
        <v>0</v>
      </c>
      <c r="BF10" s="197">
        <f>SUMIFS('Regional allocations LIVE'!$T:$T,
  'Regional allocations LIVE'!$H:$H, $R10,
  'Regional allocations LIVE'!$R:$R, "&gt;=" &amp; BF$4,
  'Regional allocations LIVE'!$R:$R, "&lt;=" &amp; Table14[[#Headers],[30/09/2027]]
)</f>
        <v>0</v>
      </c>
      <c r="BG10" s="197">
        <f>SUMIFS('Regional allocations LIVE'!$T:$T,
  'Regional allocations LIVE'!$H:$H, $R10,
  'Regional allocations LIVE'!$R:$R, "&gt;=" &amp; BG$4,
  'Regional allocations LIVE'!$R:$R, "&lt;=" &amp; Table14[[#Headers],[31/10/2027]]
)</f>
        <v>0</v>
      </c>
    </row>
    <row r="11" spans="1:61" ht="15" customHeight="1" x14ac:dyDescent="0.3">
      <c r="A11" s="117"/>
      <c r="B11" s="122" t="s">
        <v>57</v>
      </c>
      <c r="C11" s="156">
        <f t="shared" si="1"/>
        <v>44.8</v>
      </c>
      <c r="D11" s="141"/>
      <c r="E11" s="128">
        <f>SUM(Table11[Headcount])</f>
        <v>170.75</v>
      </c>
      <c r="F11" s="112"/>
      <c r="H11" s="122" t="s">
        <v>57</v>
      </c>
      <c r="I11" s="156">
        <f>COUNTIFS('Regional allocations LIVE'!H:H,Table1116[[#This Row],[Business Unit]],'Regional allocations LIVE'!R:R,"")</f>
        <v>49</v>
      </c>
      <c r="J11" s="119">
        <v>5</v>
      </c>
      <c r="K11" s="143">
        <v>2</v>
      </c>
      <c r="M11" s="156">
        <f>COUNTIFS('Regional allocations LIVE'!H:H,Table1116[[#This Row],[Business Unit]],'Regional allocations LIVE'!U:U,"Y",'Regional allocations LIVE'!R:R,"")</f>
        <v>0</v>
      </c>
      <c r="N11" s="137">
        <f>Table1116[[#This Row],[Headcount]]-Table1116[[#This Row],[Contractors]]</f>
        <v>49</v>
      </c>
      <c r="O11" s="137">
        <f>Table1116[[#This Row],[Perm Headcount (minus contractors)]]+Table1116[[#This Row],[Vaccancies to backfill]]+Table1116[[#This Row],[Vaccancies for new roles]]</f>
        <v>56</v>
      </c>
      <c r="R11" s="152" t="s">
        <v>60</v>
      </c>
      <c r="S11" s="153">
        <v>0</v>
      </c>
      <c r="T11" s="153">
        <v>0</v>
      </c>
      <c r="U11" s="153">
        <v>0</v>
      </c>
      <c r="V11" s="153">
        <v>0</v>
      </c>
      <c r="W11" s="154">
        <v>0</v>
      </c>
      <c r="X11" s="169"/>
      <c r="Y11" s="155"/>
      <c r="Z11" s="171"/>
      <c r="AA11" s="164">
        <v>1</v>
      </c>
      <c r="AB11" s="164"/>
      <c r="AC11" s="164"/>
      <c r="AD11" s="164"/>
      <c r="AE11" s="164"/>
      <c r="AF11" s="197">
        <f>SUMIFS('Regional allocations LIVE'!$T:$T,
  'Regional allocations LIVE'!$H:$H, $R11,
  'Regional allocations LIVE'!$R:$R, "&gt;=" &amp; AF$4,
  'Regional allocations LIVE'!$R:$R, "&lt;=" &amp; Table14[[#Headers],[31/07/2025]]
)</f>
        <v>0</v>
      </c>
      <c r="AG11" s="197">
        <f>SUMIFS('Regional allocations LIVE'!$T:$T,
  'Regional allocations LIVE'!$H:$H, $R11,
  'Regional allocations LIVE'!$R:$R, "&gt;=" &amp; AG$4,
  'Regional allocations LIVE'!$R:$R, "&lt;=" &amp; Table14[[#Headers],[31/08/2025]]
)</f>
        <v>0</v>
      </c>
      <c r="AH11" s="197">
        <f>SUMIFS('Regional allocations LIVE'!$T:$T,
  'Regional allocations LIVE'!$H:$H, $R11,
  'Regional allocations LIVE'!$R:$R, "&gt;=" &amp; AH$4,
  'Regional allocations LIVE'!$R:$R, "&lt;=" &amp; Table14[[#Headers],[30/09/2025]]
)</f>
        <v>0</v>
      </c>
      <c r="AI11" s="197">
        <f>SUMIFS('Regional allocations LIVE'!$T:$T,
  'Regional allocations LIVE'!$H:$H, $R11,
  'Regional allocations LIVE'!$R:$R, "&gt;=" &amp; AI$4,
  'Regional allocations LIVE'!$R:$R, "&lt;=" &amp; Table14[[#Headers],[31/10/2025]]
)</f>
        <v>0</v>
      </c>
      <c r="AJ11" s="197">
        <f>SUMIFS('Regional allocations LIVE'!$T:$T,
  'Regional allocations LIVE'!$H:$H, $R11,
  'Regional allocations LIVE'!$R:$R, "&gt;=" &amp; AJ$4,
  'Regional allocations LIVE'!$R:$R, "&lt;=" &amp; Table14[[#Headers],[30/11/2025]]
)</f>
        <v>0</v>
      </c>
      <c r="AK11" s="197">
        <f>SUMIFS('Regional allocations LIVE'!$T:$T,
  'Regional allocations LIVE'!$H:$H, $R11,
  'Regional allocations LIVE'!$R:$R, "&gt;=" &amp; AK$4,
  'Regional allocations LIVE'!$R:$R, "&lt;=" &amp; Table14[[#Headers],[31/12/2025]]
)</f>
        <v>0</v>
      </c>
      <c r="AL11" s="197">
        <f>SUMIFS('Regional allocations LIVE'!$T:$T,
  'Regional allocations LIVE'!$H:$H, $R11,
  'Regional allocations LIVE'!$R:$R, "&gt;=" &amp; AL$4,
  'Regional allocations LIVE'!$R:$R, "&lt;=" &amp; Table14[[#Headers],[30/01/2026]]
)</f>
        <v>0</v>
      </c>
      <c r="AM11" s="197">
        <f>SUMIFS('Regional allocations LIVE'!$T:$T,
  'Regional allocations LIVE'!$H:$H, $R11,
  'Regional allocations LIVE'!$R:$R, "&gt;=" &amp; AM$4,
  'Regional allocations LIVE'!$R:$R, "&lt;=" &amp; Table14[[#Headers],[28/02/2026]]
)</f>
        <v>0</v>
      </c>
      <c r="AN11" s="197">
        <f>SUMIFS('Regional allocations LIVE'!$T:$T,
  'Regional allocations LIVE'!$H:$H, $R11,
  'Regional allocations LIVE'!$R:$R, "&gt;=" &amp; AN$4,
  'Regional allocations LIVE'!$R:$R, "&lt;=" &amp; Table14[[#Headers],[31/03/2026]]
)</f>
        <v>0</v>
      </c>
      <c r="AO11" s="197">
        <f>SUMIFS('Regional allocations LIVE'!$T:$T,
  'Regional allocations LIVE'!$H:$H, $R11,
  'Regional allocations LIVE'!$R:$R, "&gt;=" &amp; AO$4,
  'Regional allocations LIVE'!$R:$R, "&lt;=" &amp; Table14[[#Headers],[30/04/2026]]
)</f>
        <v>0</v>
      </c>
      <c r="AP11" s="197">
        <f>SUMIFS('Regional allocations LIVE'!$T:$T,
  'Regional allocations LIVE'!$H:$H, $R11,
  'Regional allocations LIVE'!$R:$R, "&gt;=" &amp; AP$4,
  'Regional allocations LIVE'!$R:$R, "&lt;=" &amp; Table14[[#Headers],[31/05/2026]]
)</f>
        <v>0</v>
      </c>
      <c r="AQ11" s="197">
        <f>SUMIFS('Regional allocations LIVE'!$T:$T,
  'Regional allocations LIVE'!$H:$H, $R11,
  'Regional allocations LIVE'!$R:$R, "&gt;=" &amp; AQ$4,
  'Regional allocations LIVE'!$R:$R, "&lt;=" &amp; Table14[[#Headers],[30/06/2026]]
)</f>
        <v>0</v>
      </c>
      <c r="AR11" s="197">
        <f>SUMIFS('Regional allocations LIVE'!$T:$T,
  'Regional allocations LIVE'!$H:$H, $R11,
  'Regional allocations LIVE'!$R:$R, "&gt;=" &amp; AR$4,
  'Regional allocations LIVE'!$R:$R, "&lt;=" &amp; Table14[[#Headers],[31/07/2026]]
)</f>
        <v>0</v>
      </c>
      <c r="AS11" s="197">
        <f>SUMIFS('Regional allocations LIVE'!$T:$T,
  'Regional allocations LIVE'!$H:$H, $R11,
  'Regional allocations LIVE'!$R:$R, "&gt;=" &amp; AS$4,
  'Regional allocations LIVE'!$R:$R, "&lt;=" &amp; Table14[[#Headers],[31/08/2026]]
)</f>
        <v>0</v>
      </c>
      <c r="AT11" s="197">
        <f>SUMIFS('Regional allocations LIVE'!$T:$T,
  'Regional allocations LIVE'!$H:$H, $R11,
  'Regional allocations LIVE'!$R:$R, "&gt;=" &amp; AT$4,
  'Regional allocations LIVE'!$R:$R, "&lt;=" &amp; Table14[[#Headers],[30/09/2026]]
)</f>
        <v>0</v>
      </c>
      <c r="AU11" s="197">
        <f>SUMIFS('Regional allocations LIVE'!$T:$T,
  'Regional allocations LIVE'!$H:$H, $R11,
  'Regional allocations LIVE'!$R:$R, "&gt;=" &amp; AU$4,
  'Regional allocations LIVE'!$R:$R, "&lt;=" &amp; Table14[[#Headers],[31/10/2026]]
)</f>
        <v>0</v>
      </c>
      <c r="AV11" s="197">
        <f>SUMIFS('Regional allocations LIVE'!$T:$T,
  'Regional allocations LIVE'!$H:$H, $R11,
  'Regional allocations LIVE'!$R:$R, "&gt;=" &amp; AV$4,
  'Regional allocations LIVE'!$R:$R, "&lt;=" &amp; Table14[[#Headers],[30/11/2026]]
)</f>
        <v>0</v>
      </c>
      <c r="AW11" s="197">
        <f>SUMIFS('Regional allocations LIVE'!$T:$T,
  'Regional allocations LIVE'!$H:$H, $R11,
  'Regional allocations LIVE'!$R:$R, "&gt;=" &amp; AW$4,
  'Regional allocations LIVE'!$R:$R, "&lt;=" &amp; Table14[[#Headers],[31/12/2026]]
)</f>
        <v>0</v>
      </c>
      <c r="AX11" s="197">
        <f>SUMIFS('Regional allocations LIVE'!$T:$T,
  'Regional allocations LIVE'!$H:$H, $R11,
  'Regional allocations LIVE'!$R:$R, "&gt;=" &amp; AX$4,
  'Regional allocations LIVE'!$R:$R, "&lt;=" &amp; Table14[[#Headers],[30/01/2027]]
)</f>
        <v>0</v>
      </c>
      <c r="AY11" s="197">
        <f>SUMIFS('Regional allocations LIVE'!$T:$T,
  'Regional allocations LIVE'!$H:$H, $R11,
  'Regional allocations LIVE'!$R:$R, "&gt;=" &amp; AY$4,
  'Regional allocations LIVE'!$R:$R, "&lt;=" &amp; Table14[[#Headers],[28/02/2027]]
)</f>
        <v>0</v>
      </c>
      <c r="AZ11" s="197">
        <f>SUMIFS('Regional allocations LIVE'!$T:$T,
  'Regional allocations LIVE'!$H:$H, $R11,
  'Regional allocations LIVE'!$R:$R, "&gt;=" &amp; AZ$4,
  'Regional allocations LIVE'!$R:$R, "&lt;=" &amp; Table14[[#Headers],[31/03/2027]]
)</f>
        <v>0</v>
      </c>
      <c r="BA11" s="197">
        <f>SUMIFS('Regional allocations LIVE'!$T:$T,
  'Regional allocations LIVE'!$H:$H, $R11,
  'Regional allocations LIVE'!$R:$R, "&gt;=" &amp; BA$4,
  'Regional allocations LIVE'!$R:$R, "&lt;=" &amp; Table14[[#Headers],[30/04/2027]]
)</f>
        <v>0</v>
      </c>
      <c r="BB11" s="197">
        <f>SUMIFS('Regional allocations LIVE'!$T:$T,
  'Regional allocations LIVE'!$H:$H, $R11,
  'Regional allocations LIVE'!$R:$R, "&gt;=" &amp; BB$4,
  'Regional allocations LIVE'!$R:$R, "&lt;=" &amp; Table14[[#Headers],[31/05/2027]]
)</f>
        <v>0</v>
      </c>
      <c r="BC11" s="197">
        <f>SUMIFS('Regional allocations LIVE'!$T:$T,
  'Regional allocations LIVE'!$H:$H, $R11,
  'Regional allocations LIVE'!$R:$R, "&gt;=" &amp; BC$4,
  'Regional allocations LIVE'!$R:$R, "&lt;=" &amp; Table14[[#Headers],[30/06/2027]]
)</f>
        <v>0</v>
      </c>
      <c r="BD11" s="197">
        <f>SUMIFS('Regional allocations LIVE'!$T:$T,
  'Regional allocations LIVE'!$H:$H, $R11,
  'Regional allocations LIVE'!$R:$R, "&gt;=" &amp; BD$4,
  'Regional allocations LIVE'!$R:$R, "&lt;=" &amp; Table14[[#Headers],[31/07/2027]]
)</f>
        <v>0</v>
      </c>
      <c r="BE11" s="197">
        <f>SUMIFS('Regional allocations LIVE'!$T:$T,
  'Regional allocations LIVE'!$H:$H, $R11,
  'Regional allocations LIVE'!$R:$R, "&gt;=" &amp; BE$4,
  'Regional allocations LIVE'!$R:$R, "&lt;=" &amp; Table14[[#Headers],[31/08/2027]]
)</f>
        <v>0</v>
      </c>
      <c r="BF11" s="197">
        <f>SUMIFS('Regional allocations LIVE'!$T:$T,
  'Regional allocations LIVE'!$H:$H, $R11,
  'Regional allocations LIVE'!$R:$R, "&gt;=" &amp; BF$4,
  'Regional allocations LIVE'!$R:$R, "&lt;=" &amp; Table14[[#Headers],[30/09/2027]]
)</f>
        <v>0</v>
      </c>
      <c r="BG11" s="197">
        <f>SUMIFS('Regional allocations LIVE'!$T:$T,
  'Regional allocations LIVE'!$H:$H, $R11,
  'Regional allocations LIVE'!$R:$R, "&gt;=" &amp; BG$4,
  'Regional allocations LIVE'!$R:$R, "&lt;=" &amp; Table14[[#Headers],[31/10/2027]]
)</f>
        <v>0</v>
      </c>
    </row>
    <row r="12" spans="1:61" ht="15" customHeight="1" x14ac:dyDescent="0.3">
      <c r="A12" s="117"/>
      <c r="B12" s="122" t="s">
        <v>59</v>
      </c>
      <c r="C12" s="156">
        <f t="shared" si="1"/>
        <v>19.75</v>
      </c>
      <c r="D12" s="141"/>
      <c r="E12" s="128"/>
      <c r="F12" s="112"/>
      <c r="H12" s="122" t="s">
        <v>59</v>
      </c>
      <c r="I12" s="156">
        <f>COUNTIFS('Regional allocations LIVE'!H:H,Table1116[[#This Row],[Business Unit]],'Regional allocations LIVE'!R:R,"")</f>
        <v>18</v>
      </c>
      <c r="J12" s="119">
        <v>0</v>
      </c>
      <c r="K12" s="143"/>
      <c r="M12" s="156">
        <f>COUNTIFS('Regional allocations LIVE'!H:H,Table1116[[#This Row],[Business Unit]],'Regional allocations LIVE'!U:U,"Y",'Regional allocations LIVE'!R:R,"")</f>
        <v>0</v>
      </c>
      <c r="N12" s="137">
        <f>Table1116[[#This Row],[Headcount]]-Table1116[[#This Row],[Contractors]]</f>
        <v>18</v>
      </c>
      <c r="O12" s="137">
        <f>Table1116[[#This Row],[Perm Headcount (minus contractors)]]+Table1116[[#This Row],[Vaccancies to backfill]]+Table1116[[#This Row],[Vaccancies for new roles]]</f>
        <v>18</v>
      </c>
      <c r="R12" s="152" t="s">
        <v>61</v>
      </c>
      <c r="S12" s="153">
        <v>0</v>
      </c>
      <c r="T12" s="153">
        <v>1</v>
      </c>
      <c r="U12" s="153">
        <v>0</v>
      </c>
      <c r="V12" s="153">
        <v>1</v>
      </c>
      <c r="W12" s="154">
        <v>0</v>
      </c>
      <c r="X12" s="169"/>
      <c r="Y12" s="155"/>
      <c r="Z12" s="171"/>
      <c r="AA12" s="164"/>
      <c r="AB12" s="164"/>
      <c r="AC12" s="164"/>
      <c r="AD12" s="164">
        <v>1</v>
      </c>
      <c r="AE12" s="164">
        <v>2</v>
      </c>
      <c r="AF12" s="197">
        <f>SUMIFS('Regional allocations LIVE'!$T:$T,
  'Regional allocations LIVE'!$H:$H, $R12,
  'Regional allocations LIVE'!$R:$R, "&gt;=" &amp; AF$4,
  'Regional allocations LIVE'!$R:$R, "&lt;=" &amp; Table14[[#Headers],[31/07/2025]]
)</f>
        <v>1</v>
      </c>
      <c r="AG12" s="197">
        <f>SUMIFS('Regional allocations LIVE'!$T:$T,
  'Regional allocations LIVE'!$H:$H, $R12,
  'Regional allocations LIVE'!$R:$R, "&gt;=" &amp; AG$4,
  'Regional allocations LIVE'!$R:$R, "&lt;=" &amp; Table14[[#Headers],[31/08/2025]]
)</f>
        <v>1</v>
      </c>
      <c r="AH12" s="197">
        <f>SUMIFS('Regional allocations LIVE'!$T:$T,
  'Regional allocations LIVE'!$H:$H, $R12,
  'Regional allocations LIVE'!$R:$R, "&gt;=" &amp; AH$4,
  'Regional allocations LIVE'!$R:$R, "&lt;=" &amp; Table14[[#Headers],[30/09/2025]]
)</f>
        <v>1</v>
      </c>
      <c r="AI12" s="197">
        <f>SUMIFS('Regional allocations LIVE'!$T:$T,
  'Regional allocations LIVE'!$H:$H, $R12,
  'Regional allocations LIVE'!$R:$R, "&gt;=" &amp; AI$4,
  'Regional allocations LIVE'!$R:$R, "&lt;=" &amp; Table14[[#Headers],[31/10/2025]]
)</f>
        <v>2</v>
      </c>
      <c r="AJ12" s="197">
        <f>SUMIFS('Regional allocations LIVE'!$T:$T,
  'Regional allocations LIVE'!$H:$H, $R12,
  'Regional allocations LIVE'!$R:$R, "&gt;=" &amp; AJ$4,
  'Regional allocations LIVE'!$R:$R, "&lt;=" &amp; Table14[[#Headers],[30/11/2025]]
)</f>
        <v>1</v>
      </c>
      <c r="AK12" s="197">
        <f>SUMIFS('Regional allocations LIVE'!$T:$T,
  'Regional allocations LIVE'!$H:$H, $R12,
  'Regional allocations LIVE'!$R:$R, "&gt;=" &amp; AK$4,
  'Regional allocations LIVE'!$R:$R, "&lt;=" &amp; Table14[[#Headers],[31/12/2025]]
)</f>
        <v>1</v>
      </c>
      <c r="AL12" s="197">
        <f>SUMIFS('Regional allocations LIVE'!$T:$T,
  'Regional allocations LIVE'!$H:$H, $R12,
  'Regional allocations LIVE'!$R:$R, "&gt;=" &amp; AL$4,
  'Regional allocations LIVE'!$R:$R, "&lt;=" &amp; Table14[[#Headers],[30/01/2026]]
)</f>
        <v>1</v>
      </c>
      <c r="AM12" s="197">
        <f>SUMIFS('Regional allocations LIVE'!$T:$T,
  'Regional allocations LIVE'!$H:$H, $R12,
  'Regional allocations LIVE'!$R:$R, "&gt;=" &amp; AM$4,
  'Regional allocations LIVE'!$R:$R, "&lt;=" &amp; Table14[[#Headers],[28/02/2026]]
)</f>
        <v>0</v>
      </c>
      <c r="AN12" s="197">
        <f>SUMIFS('Regional allocations LIVE'!$T:$T,
  'Regional allocations LIVE'!$H:$H, $R12,
  'Regional allocations LIVE'!$R:$R, "&gt;=" &amp; AN$4,
  'Regional allocations LIVE'!$R:$R, "&lt;=" &amp; Table14[[#Headers],[31/03/2026]]
)</f>
        <v>0</v>
      </c>
      <c r="AO12" s="197">
        <f>SUMIFS('Regional allocations LIVE'!$T:$T,
  'Regional allocations LIVE'!$H:$H, $R12,
  'Regional allocations LIVE'!$R:$R, "&gt;=" &amp; AO$4,
  'Regional allocations LIVE'!$R:$R, "&lt;=" &amp; Table14[[#Headers],[30/04/2026]]
)</f>
        <v>0</v>
      </c>
      <c r="AP12" s="197">
        <f>SUMIFS('Regional allocations LIVE'!$T:$T,
  'Regional allocations LIVE'!$H:$H, $R12,
  'Regional allocations LIVE'!$R:$R, "&gt;=" &amp; AP$4,
  'Regional allocations LIVE'!$R:$R, "&lt;=" &amp; Table14[[#Headers],[31/05/2026]]
)</f>
        <v>0</v>
      </c>
      <c r="AQ12" s="197">
        <f>SUMIFS('Regional allocations LIVE'!$T:$T,
  'Regional allocations LIVE'!$H:$H, $R12,
  'Regional allocations LIVE'!$R:$R, "&gt;=" &amp; AQ$4,
  'Regional allocations LIVE'!$R:$R, "&lt;=" &amp; Table14[[#Headers],[30/06/2026]]
)</f>
        <v>0</v>
      </c>
      <c r="AR12" s="197">
        <f>SUMIFS('Regional allocations LIVE'!$T:$T,
  'Regional allocations LIVE'!$H:$H, $R12,
  'Regional allocations LIVE'!$R:$R, "&gt;=" &amp; AR$4,
  'Regional allocations LIVE'!$R:$R, "&lt;=" &amp; Table14[[#Headers],[31/07/2026]]
)</f>
        <v>0</v>
      </c>
      <c r="AS12" s="197">
        <f>SUMIFS('Regional allocations LIVE'!$T:$T,
  'Regional allocations LIVE'!$H:$H, $R12,
  'Regional allocations LIVE'!$R:$R, "&gt;=" &amp; AS$4,
  'Regional allocations LIVE'!$R:$R, "&lt;=" &amp; Table14[[#Headers],[31/08/2026]]
)</f>
        <v>0</v>
      </c>
      <c r="AT12" s="197">
        <f>SUMIFS('Regional allocations LIVE'!$T:$T,
  'Regional allocations LIVE'!$H:$H, $R12,
  'Regional allocations LIVE'!$R:$R, "&gt;=" &amp; AT$4,
  'Regional allocations LIVE'!$R:$R, "&lt;=" &amp; Table14[[#Headers],[30/09/2026]]
)</f>
        <v>0</v>
      </c>
      <c r="AU12" s="197">
        <f>SUMIFS('Regional allocations LIVE'!$T:$T,
  'Regional allocations LIVE'!$H:$H, $R12,
  'Regional allocations LIVE'!$R:$R, "&gt;=" &amp; AU$4,
  'Regional allocations LIVE'!$R:$R, "&lt;=" &amp; Table14[[#Headers],[31/10/2026]]
)</f>
        <v>0</v>
      </c>
      <c r="AV12" s="197">
        <f>SUMIFS('Regional allocations LIVE'!$T:$T,
  'Regional allocations LIVE'!$H:$H, $R12,
  'Regional allocations LIVE'!$R:$R, "&gt;=" &amp; AV$4,
  'Regional allocations LIVE'!$R:$R, "&lt;=" &amp; Table14[[#Headers],[30/11/2026]]
)</f>
        <v>0</v>
      </c>
      <c r="AW12" s="197">
        <f>SUMIFS('Regional allocations LIVE'!$T:$T,
  'Regional allocations LIVE'!$H:$H, $R12,
  'Regional allocations LIVE'!$R:$R, "&gt;=" &amp; AW$4,
  'Regional allocations LIVE'!$R:$R, "&lt;=" &amp; Table14[[#Headers],[31/12/2026]]
)</f>
        <v>0</v>
      </c>
      <c r="AX12" s="197">
        <f>SUMIFS('Regional allocations LIVE'!$T:$T,
  'Regional allocations LIVE'!$H:$H, $R12,
  'Regional allocations LIVE'!$R:$R, "&gt;=" &amp; AX$4,
  'Regional allocations LIVE'!$R:$R, "&lt;=" &amp; Table14[[#Headers],[30/01/2027]]
)</f>
        <v>0</v>
      </c>
      <c r="AY12" s="197">
        <f>SUMIFS('Regional allocations LIVE'!$T:$T,
  'Regional allocations LIVE'!$H:$H, $R12,
  'Regional allocations LIVE'!$R:$R, "&gt;=" &amp; AY$4,
  'Regional allocations LIVE'!$R:$R, "&lt;=" &amp; Table14[[#Headers],[28/02/2027]]
)</f>
        <v>0</v>
      </c>
      <c r="AZ12" s="197">
        <f>SUMIFS('Regional allocations LIVE'!$T:$T,
  'Regional allocations LIVE'!$H:$H, $R12,
  'Regional allocations LIVE'!$R:$R, "&gt;=" &amp; AZ$4,
  'Regional allocations LIVE'!$R:$R, "&lt;=" &amp; Table14[[#Headers],[31/03/2027]]
)</f>
        <v>0</v>
      </c>
      <c r="BA12" s="197">
        <f>SUMIFS('Regional allocations LIVE'!$T:$T,
  'Regional allocations LIVE'!$H:$H, $R12,
  'Regional allocations LIVE'!$R:$R, "&gt;=" &amp; BA$4,
  'Regional allocations LIVE'!$R:$R, "&lt;=" &amp; Table14[[#Headers],[30/04/2027]]
)</f>
        <v>0</v>
      </c>
      <c r="BB12" s="197">
        <f>SUMIFS('Regional allocations LIVE'!$T:$T,
  'Regional allocations LIVE'!$H:$H, $R12,
  'Regional allocations LIVE'!$R:$R, "&gt;=" &amp; BB$4,
  'Regional allocations LIVE'!$R:$R, "&lt;=" &amp; Table14[[#Headers],[31/05/2027]]
)</f>
        <v>0</v>
      </c>
      <c r="BC12" s="197">
        <f>SUMIFS('Regional allocations LIVE'!$T:$T,
  'Regional allocations LIVE'!$H:$H, $R12,
  'Regional allocations LIVE'!$R:$R, "&gt;=" &amp; BC$4,
  'Regional allocations LIVE'!$R:$R, "&lt;=" &amp; Table14[[#Headers],[30/06/2027]]
)</f>
        <v>0</v>
      </c>
      <c r="BD12" s="197">
        <f>SUMIFS('Regional allocations LIVE'!$T:$T,
  'Regional allocations LIVE'!$H:$H, $R12,
  'Regional allocations LIVE'!$R:$R, "&gt;=" &amp; BD$4,
  'Regional allocations LIVE'!$R:$R, "&lt;=" &amp; Table14[[#Headers],[31/07/2027]]
)</f>
        <v>0</v>
      </c>
      <c r="BE12" s="197">
        <f>SUMIFS('Regional allocations LIVE'!$T:$T,
  'Regional allocations LIVE'!$H:$H, $R12,
  'Regional allocations LIVE'!$R:$R, "&gt;=" &amp; BE$4,
  'Regional allocations LIVE'!$R:$R, "&lt;=" &amp; Table14[[#Headers],[31/08/2027]]
)</f>
        <v>0</v>
      </c>
      <c r="BF12" s="197">
        <f>SUMIFS('Regional allocations LIVE'!$T:$T,
  'Regional allocations LIVE'!$H:$H, $R12,
  'Regional allocations LIVE'!$R:$R, "&gt;=" &amp; BF$4,
  'Regional allocations LIVE'!$R:$R, "&lt;=" &amp; Table14[[#Headers],[30/09/2027]]
)</f>
        <v>0</v>
      </c>
      <c r="BG12" s="197">
        <f>SUMIFS('Regional allocations LIVE'!$T:$T,
  'Regional allocations LIVE'!$H:$H, $R12,
  'Regional allocations LIVE'!$R:$R, "&gt;=" &amp; BG$4,
  'Regional allocations LIVE'!$R:$R, "&lt;=" &amp; Table14[[#Headers],[31/10/2027]]
)</f>
        <v>0</v>
      </c>
    </row>
    <row r="13" spans="1:61" ht="15" customHeight="1" x14ac:dyDescent="0.3">
      <c r="A13" s="117"/>
      <c r="B13" s="122" t="s">
        <v>60</v>
      </c>
      <c r="C13" s="156">
        <f t="shared" si="1"/>
        <v>0</v>
      </c>
      <c r="D13" s="141"/>
      <c r="E13" s="112"/>
      <c r="F13" s="112"/>
      <c r="H13" s="122" t="s">
        <v>60</v>
      </c>
      <c r="I13" s="156">
        <f>COUNTIFS('Regional allocations LIVE'!H:H,Table1116[[#This Row],[Business Unit]],'Regional allocations LIVE'!R:R,"")</f>
        <v>0</v>
      </c>
      <c r="J13" s="119">
        <v>1</v>
      </c>
      <c r="K13" s="143"/>
      <c r="M13" s="156">
        <f>COUNTIFS('Regional allocations LIVE'!H:H,Table1116[[#This Row],[Business Unit]],'Regional allocations LIVE'!U:U,"Y",'Regional allocations LIVE'!R:R,"")</f>
        <v>0</v>
      </c>
      <c r="N13" s="137">
        <f>Table1116[[#This Row],[Headcount]]-Table1116[[#This Row],[Contractors]]</f>
        <v>0</v>
      </c>
      <c r="O13" s="137">
        <f>Table1116[[#This Row],[Perm Headcount (minus contractors)]]+Table1116[[#This Row],[Vaccancies to backfill]]+Table1116[[#This Row],[Vaccancies for new roles]]</f>
        <v>1</v>
      </c>
      <c r="R13" s="167" t="s">
        <v>62</v>
      </c>
      <c r="S13" s="168">
        <v>0</v>
      </c>
      <c r="T13" s="168">
        <v>0</v>
      </c>
      <c r="U13" s="168">
        <v>0</v>
      </c>
      <c r="V13" s="168">
        <v>0</v>
      </c>
      <c r="W13" s="168">
        <v>0</v>
      </c>
      <c r="X13" s="183"/>
      <c r="Y13" s="168"/>
      <c r="Z13" s="174"/>
      <c r="AA13" s="164"/>
      <c r="AB13" s="164"/>
      <c r="AC13" s="164"/>
      <c r="AD13" s="164"/>
      <c r="AE13" s="183"/>
      <c r="AF13" s="197">
        <f>SUMIFS('Regional allocations LIVE'!$T:$T,
  'Regional allocations LIVE'!$H:$H, $R13,
  'Regional allocations LIVE'!$R:$R, "&gt;=" &amp; AF$4,
  'Regional allocations LIVE'!$R:$R, "&lt;=" &amp; Table14[[#Headers],[31/07/2025]]
)</f>
        <v>0</v>
      </c>
      <c r="AG13" s="197">
        <f>SUMIFS('Regional allocations LIVE'!$T:$T,
  'Regional allocations LIVE'!$H:$H, $R13,
  'Regional allocations LIVE'!$R:$R, "&gt;=" &amp; AG$4,
  'Regional allocations LIVE'!$R:$R, "&lt;=" &amp; Table14[[#Headers],[31/08/2025]]
)</f>
        <v>0</v>
      </c>
      <c r="AH13" s="197">
        <f>SUMIFS('Regional allocations LIVE'!$T:$T,
  'Regional allocations LIVE'!$H:$H, $R13,
  'Regional allocations LIVE'!$R:$R, "&gt;=" &amp; AH$4,
  'Regional allocations LIVE'!$R:$R, "&lt;=" &amp; Table14[[#Headers],[30/09/2025]]
)</f>
        <v>0</v>
      </c>
      <c r="AI13" s="197">
        <f>SUMIFS('Regional allocations LIVE'!$T:$T,
  'Regional allocations LIVE'!$H:$H, $R13,
  'Regional allocations LIVE'!$R:$R, "&gt;=" &amp; AI$4,
  'Regional allocations LIVE'!$R:$R, "&lt;=" &amp; Table14[[#Headers],[31/10/2025]]
)</f>
        <v>0</v>
      </c>
      <c r="AJ13" s="197">
        <f>SUMIFS('Regional allocations LIVE'!$T:$T,
  'Regional allocations LIVE'!$H:$H, $R13,
  'Regional allocations LIVE'!$R:$R, "&gt;=" &amp; AJ$4,
  'Regional allocations LIVE'!$R:$R, "&lt;=" &amp; Table14[[#Headers],[30/11/2025]]
)</f>
        <v>0</v>
      </c>
      <c r="AK13" s="197">
        <f>SUMIFS('Regional allocations LIVE'!$T:$T,
  'Regional allocations LIVE'!$H:$H, $R13,
  'Regional allocations LIVE'!$R:$R, "&gt;=" &amp; AK$4,
  'Regional allocations LIVE'!$R:$R, "&lt;=" &amp; Table14[[#Headers],[31/12/2025]]
)</f>
        <v>0</v>
      </c>
      <c r="AL13" s="197">
        <f>SUMIFS('Regional allocations LIVE'!$T:$T,
  'Regional allocations LIVE'!$H:$H, $R13,
  'Regional allocations LIVE'!$R:$R, "&gt;=" &amp; AL$4,
  'Regional allocations LIVE'!$R:$R, "&lt;=" &amp; Table14[[#Headers],[30/01/2026]]
)</f>
        <v>0</v>
      </c>
      <c r="AM13" s="197">
        <f>SUMIFS('Regional allocations LIVE'!$T:$T,
  'Regional allocations LIVE'!$H:$H, $R13,
  'Regional allocations LIVE'!$R:$R, "&gt;=" &amp; AM$4,
  'Regional allocations LIVE'!$R:$R, "&lt;=" &amp; Table14[[#Headers],[28/02/2026]]
)</f>
        <v>0</v>
      </c>
      <c r="AN13" s="197">
        <f>SUMIFS('Regional allocations LIVE'!$T:$T,
  'Regional allocations LIVE'!$H:$H, $R13,
  'Regional allocations LIVE'!$R:$R, "&gt;=" &amp; AN$4,
  'Regional allocations LIVE'!$R:$R, "&lt;=" &amp; Table14[[#Headers],[31/03/2026]]
)</f>
        <v>0</v>
      </c>
      <c r="AO13" s="197">
        <f>SUMIFS('Regional allocations LIVE'!$T:$T,
  'Regional allocations LIVE'!$H:$H, $R13,
  'Regional allocations LIVE'!$R:$R, "&gt;=" &amp; AO$4,
  'Regional allocations LIVE'!$R:$R, "&lt;=" &amp; Table14[[#Headers],[30/04/2026]]
)</f>
        <v>0</v>
      </c>
      <c r="AP13" s="197">
        <f>SUMIFS('Regional allocations LIVE'!$T:$T,
  'Regional allocations LIVE'!$H:$H, $R13,
  'Regional allocations LIVE'!$R:$R, "&gt;=" &amp; AP$4,
  'Regional allocations LIVE'!$R:$R, "&lt;=" &amp; Table14[[#Headers],[31/05/2026]]
)</f>
        <v>0</v>
      </c>
      <c r="AQ13" s="197">
        <f>SUMIFS('Regional allocations LIVE'!$T:$T,
  'Regional allocations LIVE'!$H:$H, $R13,
  'Regional allocations LIVE'!$R:$R, "&gt;=" &amp; AQ$4,
  'Regional allocations LIVE'!$R:$R, "&lt;=" &amp; Table14[[#Headers],[30/06/2026]]
)</f>
        <v>0</v>
      </c>
      <c r="AR13" s="197">
        <f>SUMIFS('Regional allocations LIVE'!$T:$T,
  'Regional allocations LIVE'!$H:$H, $R13,
  'Regional allocations LIVE'!$R:$R, "&gt;=" &amp; AR$4,
  'Regional allocations LIVE'!$R:$R, "&lt;=" &amp; Table14[[#Headers],[31/07/2026]]
)</f>
        <v>0</v>
      </c>
      <c r="AS13" s="197">
        <f>SUMIFS('Regional allocations LIVE'!$T:$T,
  'Regional allocations LIVE'!$H:$H, $R13,
  'Regional allocations LIVE'!$R:$R, "&gt;=" &amp; AS$4,
  'Regional allocations LIVE'!$R:$R, "&lt;=" &amp; Table14[[#Headers],[31/08/2026]]
)</f>
        <v>0</v>
      </c>
      <c r="AT13" s="197">
        <f>SUMIFS('Regional allocations LIVE'!$T:$T,
  'Regional allocations LIVE'!$H:$H, $R13,
  'Regional allocations LIVE'!$R:$R, "&gt;=" &amp; AT$4,
  'Regional allocations LIVE'!$R:$R, "&lt;=" &amp; Table14[[#Headers],[30/09/2026]]
)</f>
        <v>0</v>
      </c>
      <c r="AU13" s="197">
        <f>SUMIFS('Regional allocations LIVE'!$T:$T,
  'Regional allocations LIVE'!$H:$H, $R13,
  'Regional allocations LIVE'!$R:$R, "&gt;=" &amp; AU$4,
  'Regional allocations LIVE'!$R:$R, "&lt;=" &amp; Table14[[#Headers],[31/10/2026]]
)</f>
        <v>0</v>
      </c>
      <c r="AV13" s="197">
        <f>SUMIFS('Regional allocations LIVE'!$T:$T,
  'Regional allocations LIVE'!$H:$H, $R13,
  'Regional allocations LIVE'!$R:$R, "&gt;=" &amp; AV$4,
  'Regional allocations LIVE'!$R:$R, "&lt;=" &amp; Table14[[#Headers],[30/11/2026]]
)</f>
        <v>0</v>
      </c>
      <c r="AW13" s="197">
        <f>SUMIFS('Regional allocations LIVE'!$T:$T,
  'Regional allocations LIVE'!$H:$H, $R13,
  'Regional allocations LIVE'!$R:$R, "&gt;=" &amp; AW$4,
  'Regional allocations LIVE'!$R:$R, "&lt;=" &amp; Table14[[#Headers],[31/12/2026]]
)</f>
        <v>0</v>
      </c>
      <c r="AX13" s="197">
        <f>SUMIFS('Regional allocations LIVE'!$T:$T,
  'Regional allocations LIVE'!$H:$H, $R13,
  'Regional allocations LIVE'!$R:$R, "&gt;=" &amp; AX$4,
  'Regional allocations LIVE'!$R:$R, "&lt;=" &amp; Table14[[#Headers],[30/01/2027]]
)</f>
        <v>0</v>
      </c>
      <c r="AY13" s="197">
        <f>SUMIFS('Regional allocations LIVE'!$T:$T,
  'Regional allocations LIVE'!$H:$H, $R13,
  'Regional allocations LIVE'!$R:$R, "&gt;=" &amp; AY$4,
  'Regional allocations LIVE'!$R:$R, "&lt;=" &amp; Table14[[#Headers],[28/02/2027]]
)</f>
        <v>0</v>
      </c>
      <c r="AZ13" s="197">
        <f>SUMIFS('Regional allocations LIVE'!$T:$T,
  'Regional allocations LIVE'!$H:$H, $R13,
  'Regional allocations LIVE'!$R:$R, "&gt;=" &amp; AZ$4,
  'Regional allocations LIVE'!$R:$R, "&lt;=" &amp; Table14[[#Headers],[31/03/2027]]
)</f>
        <v>0</v>
      </c>
      <c r="BA13" s="197">
        <f>SUMIFS('Regional allocations LIVE'!$T:$T,
  'Regional allocations LIVE'!$H:$H, $R13,
  'Regional allocations LIVE'!$R:$R, "&gt;=" &amp; BA$4,
  'Regional allocations LIVE'!$R:$R, "&lt;=" &amp; Table14[[#Headers],[30/04/2027]]
)</f>
        <v>0</v>
      </c>
      <c r="BB13" s="197">
        <f>SUMIFS('Regional allocations LIVE'!$T:$T,
  'Regional allocations LIVE'!$H:$H, $R13,
  'Regional allocations LIVE'!$R:$R, "&gt;=" &amp; BB$4,
  'Regional allocations LIVE'!$R:$R, "&lt;=" &amp; Table14[[#Headers],[31/05/2027]]
)</f>
        <v>0</v>
      </c>
      <c r="BC13" s="197">
        <f>SUMIFS('Regional allocations LIVE'!$T:$T,
  'Regional allocations LIVE'!$H:$H, $R13,
  'Regional allocations LIVE'!$R:$R, "&gt;=" &amp; BC$4,
  'Regional allocations LIVE'!$R:$R, "&lt;=" &amp; Table14[[#Headers],[30/06/2027]]
)</f>
        <v>0</v>
      </c>
      <c r="BD13" s="197">
        <f>SUMIFS('Regional allocations LIVE'!$T:$T,
  'Regional allocations LIVE'!$H:$H, $R13,
  'Regional allocations LIVE'!$R:$R, "&gt;=" &amp; BD$4,
  'Regional allocations LIVE'!$R:$R, "&lt;=" &amp; Table14[[#Headers],[31/07/2027]]
)</f>
        <v>0</v>
      </c>
      <c r="BE13" s="197">
        <f>SUMIFS('Regional allocations LIVE'!$T:$T,
  'Regional allocations LIVE'!$H:$H, $R13,
  'Regional allocations LIVE'!$R:$R, "&gt;=" &amp; BE$4,
  'Regional allocations LIVE'!$R:$R, "&lt;=" &amp; Table14[[#Headers],[31/08/2027]]
)</f>
        <v>0</v>
      </c>
      <c r="BF13" s="197">
        <f>SUMIFS('Regional allocations LIVE'!$T:$T,
  'Regional allocations LIVE'!$H:$H, $R13,
  'Regional allocations LIVE'!$R:$R, "&gt;=" &amp; BF$4,
  'Regional allocations LIVE'!$R:$R, "&lt;=" &amp; Table14[[#Headers],[30/09/2027]]
)</f>
        <v>0</v>
      </c>
      <c r="BG13" s="197">
        <f>SUMIFS('Regional allocations LIVE'!$T:$T,
  'Regional allocations LIVE'!$H:$H, $R13,
  'Regional allocations LIVE'!$R:$R, "&gt;=" &amp; BG$4,
  'Regional allocations LIVE'!$R:$R, "&lt;=" &amp; Table14[[#Headers],[31/10/2027]]
)</f>
        <v>0</v>
      </c>
    </row>
    <row r="14" spans="1:61" ht="15" customHeight="1" x14ac:dyDescent="0.3">
      <c r="A14" s="117"/>
      <c r="B14" s="122" t="s">
        <v>61</v>
      </c>
      <c r="C14" s="156">
        <f t="shared" si="1"/>
        <v>41</v>
      </c>
      <c r="D14" s="141"/>
      <c r="E14" s="112"/>
      <c r="H14" s="122" t="s">
        <v>61</v>
      </c>
      <c r="I14" s="156">
        <f>COUNTIFS('Regional allocations LIVE'!H:H,Table1116[[#This Row],[Business Unit]],'Regional allocations LIVE'!R:R,"")</f>
        <v>39</v>
      </c>
      <c r="J14" s="119">
        <v>2</v>
      </c>
      <c r="K14" s="143">
        <v>5</v>
      </c>
      <c r="L14" s="119">
        <v>0</v>
      </c>
      <c r="M14" s="156">
        <f>COUNTIFS('Regional allocations LIVE'!H:H,Table1116[[#This Row],[Business Unit]],'Regional allocations LIVE'!U:U,"Y",'Regional allocations LIVE'!R:R,"")</f>
        <v>0</v>
      </c>
      <c r="N14" s="137">
        <f>Table1116[[#This Row],[Headcount]]-Table1116[[#This Row],[Contractors]]</f>
        <v>39</v>
      </c>
      <c r="O14" s="137">
        <f>Table1116[[#This Row],[Perm Headcount (minus contractors)]]+Table1116[[#This Row],[Vaccancies to backfill]]+Table1116[[#This Row],[Vaccancies for new roles]]</f>
        <v>46</v>
      </c>
      <c r="R14" s="167" t="s">
        <v>63</v>
      </c>
      <c r="S14" s="212"/>
      <c r="T14" s="212"/>
      <c r="U14" s="212"/>
      <c r="V14" s="212"/>
      <c r="W14" s="213"/>
      <c r="X14" s="214"/>
      <c r="Y14" s="168"/>
      <c r="Z14" s="168"/>
      <c r="AA14" s="183"/>
      <c r="AB14" s="183"/>
      <c r="AC14" s="183"/>
      <c r="AD14" s="183"/>
      <c r="AE14" s="183"/>
      <c r="AF14" s="197">
        <f>SUMIFS('Regional allocations LIVE'!$T:$T,
  'Regional allocations LIVE'!$H:$H, $R14,
  'Regional allocations LIVE'!$R:$R, "&gt;=" &amp; AF$4,
  'Regional allocations LIVE'!$R:$R, "&lt;=" &amp; Table14[[#Headers],[31/07/2025]]
)</f>
        <v>0</v>
      </c>
      <c r="AG14" s="197">
        <f>SUMIFS('Regional allocations LIVE'!$T:$T,
  'Regional allocations LIVE'!$H:$H, $R14,
  'Regional allocations LIVE'!$R:$R, "&gt;=" &amp; AG$4,
  'Regional allocations LIVE'!$R:$R, "&lt;=" &amp; Table14[[#Headers],[31/08/2025]]
)</f>
        <v>0</v>
      </c>
      <c r="AH14" s="197">
        <f>SUMIFS('Regional allocations LIVE'!$T:$T,
  'Regional allocations LIVE'!$H:$H, $R14,
  'Regional allocations LIVE'!$R:$R, "&gt;=" &amp; AH$4,
  'Regional allocations LIVE'!$R:$R, "&lt;=" &amp; Table14[[#Headers],[30/09/2025]]
)</f>
        <v>0</v>
      </c>
      <c r="AI14" s="197">
        <f>SUMIFS('Regional allocations LIVE'!$T:$T,
  'Regional allocations LIVE'!$H:$H, $R14,
  'Regional allocations LIVE'!$R:$R, "&gt;=" &amp; AI$4,
  'Regional allocations LIVE'!$R:$R, "&lt;=" &amp; Table14[[#Headers],[31/10/2025]]
)</f>
        <v>1</v>
      </c>
      <c r="AJ14" s="197">
        <f>SUMIFS('Regional allocations LIVE'!$T:$T,
  'Regional allocations LIVE'!$H:$H, $R14,
  'Regional allocations LIVE'!$R:$R, "&gt;=" &amp; AJ$4,
  'Regional allocations LIVE'!$R:$R, "&lt;=" &amp; Table14[[#Headers],[30/11/2025]]
)</f>
        <v>0</v>
      </c>
      <c r="AK14" s="197">
        <f>SUMIFS('Regional allocations LIVE'!$T:$T,
  'Regional allocations LIVE'!$H:$H, $R14,
  'Regional allocations LIVE'!$R:$R, "&gt;=" &amp; AK$4,
  'Regional allocations LIVE'!$R:$R, "&lt;=" &amp; Table14[[#Headers],[31/12/2025]]
)</f>
        <v>0</v>
      </c>
      <c r="AL14" s="197">
        <f>SUMIFS('Regional allocations LIVE'!$T:$T,
  'Regional allocations LIVE'!$H:$H, $R14,
  'Regional allocations LIVE'!$R:$R, "&gt;=" &amp; AL$4,
  'Regional allocations LIVE'!$R:$R, "&lt;=" &amp; Table14[[#Headers],[30/01/2026]]
)</f>
        <v>0</v>
      </c>
      <c r="AM14" s="197">
        <f>SUMIFS('Regional allocations LIVE'!$T:$T,
  'Regional allocations LIVE'!$H:$H, $R14,
  'Regional allocations LIVE'!$R:$R, "&gt;=" &amp; AM$4,
  'Regional allocations LIVE'!$R:$R, "&lt;=" &amp; Table14[[#Headers],[28/02/2026]]
)</f>
        <v>0</v>
      </c>
      <c r="AN14" s="197">
        <f>SUMIFS('Regional allocations LIVE'!$T:$T,
  'Regional allocations LIVE'!$H:$H, $R14,
  'Regional allocations LIVE'!$R:$R, "&gt;=" &amp; AN$4,
  'Regional allocations LIVE'!$R:$R, "&lt;=" &amp; Table14[[#Headers],[31/03/2026]]
)</f>
        <v>0</v>
      </c>
      <c r="AO14" s="197">
        <f>SUMIFS('Regional allocations LIVE'!$T:$T,
  'Regional allocations LIVE'!$H:$H, $R14,
  'Regional allocations LIVE'!$R:$R, "&gt;=" &amp; AO$4,
  'Regional allocations LIVE'!$R:$R, "&lt;=" &amp; Table14[[#Headers],[30/04/2026]]
)</f>
        <v>0</v>
      </c>
      <c r="AP14" s="197">
        <f>SUMIFS('Regional allocations LIVE'!$T:$T,
  'Regional allocations LIVE'!$H:$H, $R14,
  'Regional allocations LIVE'!$R:$R, "&gt;=" &amp; AP$4,
  'Regional allocations LIVE'!$R:$R, "&lt;=" &amp; Table14[[#Headers],[31/05/2026]]
)</f>
        <v>0</v>
      </c>
      <c r="AQ14" s="197">
        <f>SUMIFS('Regional allocations LIVE'!$T:$T,
  'Regional allocations LIVE'!$H:$H, $R14,
  'Regional allocations LIVE'!$R:$R, "&gt;=" &amp; AQ$4,
  'Regional allocations LIVE'!$R:$R, "&lt;=" &amp; Table14[[#Headers],[30/06/2026]]
)</f>
        <v>0</v>
      </c>
      <c r="AR14" s="197">
        <f>SUMIFS('Regional allocations LIVE'!$T:$T,
  'Regional allocations LIVE'!$H:$H, $R14,
  'Regional allocations LIVE'!$R:$R, "&gt;=" &amp; AR$4,
  'Regional allocations LIVE'!$R:$R, "&lt;=" &amp; Table14[[#Headers],[31/07/2026]]
)</f>
        <v>0</v>
      </c>
      <c r="AS14" s="197">
        <f>SUMIFS('Regional allocations LIVE'!$T:$T,
  'Regional allocations LIVE'!$H:$H, $R14,
  'Regional allocations LIVE'!$R:$R, "&gt;=" &amp; AS$4,
  'Regional allocations LIVE'!$R:$R, "&lt;=" &amp; Table14[[#Headers],[31/08/2026]]
)</f>
        <v>0</v>
      </c>
      <c r="AT14" s="197">
        <f>SUMIFS('Regional allocations LIVE'!$T:$T,
  'Regional allocations LIVE'!$H:$H, $R14,
  'Regional allocations LIVE'!$R:$R, "&gt;=" &amp; AT$4,
  'Regional allocations LIVE'!$R:$R, "&lt;=" &amp; Table14[[#Headers],[30/09/2026]]
)</f>
        <v>0</v>
      </c>
      <c r="AU14" s="197">
        <f>SUMIFS('Regional allocations LIVE'!$T:$T,
  'Regional allocations LIVE'!$H:$H, $R14,
  'Regional allocations LIVE'!$R:$R, "&gt;=" &amp; AU$4,
  'Regional allocations LIVE'!$R:$R, "&lt;=" &amp; Table14[[#Headers],[31/10/2026]]
)</f>
        <v>0</v>
      </c>
      <c r="AV14" s="197">
        <f>SUMIFS('Regional allocations LIVE'!$T:$T,
  'Regional allocations LIVE'!$H:$H, $R14,
  'Regional allocations LIVE'!$R:$R, "&gt;=" &amp; AV$4,
  'Regional allocations LIVE'!$R:$R, "&lt;=" &amp; Table14[[#Headers],[30/11/2026]]
)</f>
        <v>0</v>
      </c>
      <c r="AW14" s="197">
        <f>SUMIFS('Regional allocations LIVE'!$T:$T,
  'Regional allocations LIVE'!$H:$H, $R14,
  'Regional allocations LIVE'!$R:$R, "&gt;=" &amp; AW$4,
  'Regional allocations LIVE'!$R:$R, "&lt;=" &amp; Table14[[#Headers],[31/12/2026]]
)</f>
        <v>0</v>
      </c>
      <c r="AX14" s="197">
        <f>SUMIFS('Regional allocations LIVE'!$T:$T,
  'Regional allocations LIVE'!$H:$H, $R14,
  'Regional allocations LIVE'!$R:$R, "&gt;=" &amp; AX$4,
  'Regional allocations LIVE'!$R:$R, "&lt;=" &amp; Table14[[#Headers],[30/01/2027]]
)</f>
        <v>0</v>
      </c>
      <c r="AY14" s="197">
        <f>SUMIFS('Regional allocations LIVE'!$T:$T,
  'Regional allocations LIVE'!$H:$H, $R14,
  'Regional allocations LIVE'!$R:$R, "&gt;=" &amp; AY$4,
  'Regional allocations LIVE'!$R:$R, "&lt;=" &amp; Table14[[#Headers],[28/02/2027]]
)</f>
        <v>0</v>
      </c>
      <c r="AZ14" s="197">
        <f>SUMIFS('Regional allocations LIVE'!$T:$T,
  'Regional allocations LIVE'!$H:$H, $R14,
  'Regional allocations LIVE'!$R:$R, "&gt;=" &amp; AZ$4,
  'Regional allocations LIVE'!$R:$R, "&lt;=" &amp; Table14[[#Headers],[31/03/2027]]
)</f>
        <v>0</v>
      </c>
      <c r="BA14" s="197">
        <f>SUMIFS('Regional allocations LIVE'!$T:$T,
  'Regional allocations LIVE'!$H:$H, $R14,
  'Regional allocations LIVE'!$R:$R, "&gt;=" &amp; BA$4,
  'Regional allocations LIVE'!$R:$R, "&lt;=" &amp; Table14[[#Headers],[30/04/2027]]
)</f>
        <v>0</v>
      </c>
      <c r="BB14" s="197">
        <f>SUMIFS('Regional allocations LIVE'!$T:$T,
  'Regional allocations LIVE'!$H:$H, $R14,
  'Regional allocations LIVE'!$R:$R, "&gt;=" &amp; BB$4,
  'Regional allocations LIVE'!$R:$R, "&lt;=" &amp; Table14[[#Headers],[31/05/2027]]
)</f>
        <v>0</v>
      </c>
      <c r="BC14" s="197">
        <f>SUMIFS('Regional allocations LIVE'!$T:$T,
  'Regional allocations LIVE'!$H:$H, $R14,
  'Regional allocations LIVE'!$R:$R, "&gt;=" &amp; BC$4,
  'Regional allocations LIVE'!$R:$R, "&lt;=" &amp; Table14[[#Headers],[30/06/2027]]
)</f>
        <v>0</v>
      </c>
      <c r="BD14" s="197">
        <f>SUMIFS('Regional allocations LIVE'!$T:$T,
  'Regional allocations LIVE'!$H:$H, $R14,
  'Regional allocations LIVE'!$R:$R, "&gt;=" &amp; BD$4,
  'Regional allocations LIVE'!$R:$R, "&lt;=" &amp; Table14[[#Headers],[31/07/2027]]
)</f>
        <v>0</v>
      </c>
      <c r="BE14" s="197">
        <f>SUMIFS('Regional allocations LIVE'!$T:$T,
  'Regional allocations LIVE'!$H:$H, $R14,
  'Regional allocations LIVE'!$R:$R, "&gt;=" &amp; BE$4,
  'Regional allocations LIVE'!$R:$R, "&lt;=" &amp; Table14[[#Headers],[31/08/2027]]
)</f>
        <v>0</v>
      </c>
      <c r="BF14" s="197">
        <f>SUMIFS('Regional allocations LIVE'!$T:$T,
  'Regional allocations LIVE'!$H:$H, $R14,
  'Regional allocations LIVE'!$R:$R, "&gt;=" &amp; BF$4,
  'Regional allocations LIVE'!$R:$R, "&lt;=" &amp; Table14[[#Headers],[30/09/2027]]
)</f>
        <v>0</v>
      </c>
      <c r="BG14" s="197">
        <f>SUMIFS('Regional allocations LIVE'!$T:$T,
  'Regional allocations LIVE'!$H:$H, $R14,
  'Regional allocations LIVE'!$R:$R, "&gt;=" &amp; BG$4,
  'Regional allocations LIVE'!$R:$R, "&lt;=" &amp; Table14[[#Headers],[31/10/2027]]
)</f>
        <v>0</v>
      </c>
    </row>
    <row r="15" spans="1:61" ht="15" customHeight="1" x14ac:dyDescent="0.3">
      <c r="A15" s="117"/>
      <c r="B15" s="126" t="s">
        <v>62</v>
      </c>
      <c r="C15" s="156">
        <v>4</v>
      </c>
      <c r="D15" s="141"/>
      <c r="E15" s="112"/>
      <c r="H15" s="126"/>
      <c r="I15" s="156"/>
      <c r="J15" s="143"/>
      <c r="M15" s="156"/>
      <c r="N15" s="137"/>
      <c r="O15" s="137"/>
      <c r="R15" s="231" t="s">
        <v>64</v>
      </c>
      <c r="S15" s="232"/>
      <c r="T15" s="232"/>
      <c r="U15" s="232"/>
      <c r="V15" s="232"/>
      <c r="W15" s="233"/>
      <c r="X15" s="234"/>
      <c r="Y15" s="235"/>
      <c r="Z15" s="235">
        <f>SUM(Table14[30/01/2025])</f>
        <v>4</v>
      </c>
      <c r="AA15" s="235">
        <f>SUM(Table14[28/02/2025])</f>
        <v>3</v>
      </c>
      <c r="AB15" s="235">
        <f>SUM(Table14[31/03/2025])</f>
        <v>1</v>
      </c>
      <c r="AC15" s="235">
        <f>SUM(Table14[30/04/2025])</f>
        <v>3</v>
      </c>
      <c r="AD15" s="235">
        <f>SUM(Table14[31/05/2025])</f>
        <v>2</v>
      </c>
      <c r="AE15" s="235">
        <f>SUM(Table14[30/06/2025])</f>
        <v>6</v>
      </c>
      <c r="AF15" s="235">
        <f>SUM(Table14[31/07/2025])</f>
        <v>2</v>
      </c>
      <c r="AG15" s="235">
        <f>SUM(Table14[31/08/2025])</f>
        <v>2</v>
      </c>
      <c r="AH15" s="235">
        <f>SUM(Table14[30/09/2025])</f>
        <v>2.8</v>
      </c>
      <c r="AI15" s="235">
        <f>SUM(Table14[31/10/2025])</f>
        <v>4</v>
      </c>
      <c r="AJ15" s="235">
        <f>SUM(Table14[30/11/2025])</f>
        <v>1</v>
      </c>
      <c r="AK15" s="235">
        <f>SUM(Table14[31/12/2025])</f>
        <v>1</v>
      </c>
      <c r="AL15" s="235">
        <f>SUM(Table14[30/01/2026])</f>
        <v>1</v>
      </c>
      <c r="AM15" s="235">
        <f>SUM(Table14[28/02/2026])</f>
        <v>0</v>
      </c>
      <c r="AN15" s="235">
        <f>SUM(Table14[31/03/2026])</f>
        <v>0</v>
      </c>
      <c r="AO15" s="235">
        <f>SUM(Table14[30/04/2026])</f>
        <v>0</v>
      </c>
      <c r="AP15" s="235">
        <f>SUM(Table14[31/05/2026])</f>
        <v>0</v>
      </c>
      <c r="AQ15" s="235">
        <f>SUM(Table14[30/06/2026])</f>
        <v>0</v>
      </c>
      <c r="AR15" s="235">
        <f>SUM(Table14[31/07/2026])</f>
        <v>0</v>
      </c>
      <c r="AS15" s="235">
        <f>SUM(Table14[31/08/2026])</f>
        <v>0</v>
      </c>
      <c r="AT15" s="235">
        <f>SUM(Table14[30/09/2026])</f>
        <v>0</v>
      </c>
      <c r="AU15" s="235">
        <f>SUM(Table14[31/10/2026])</f>
        <v>0</v>
      </c>
      <c r="AV15" s="235">
        <f>SUM(Table14[30/11/2026])</f>
        <v>0</v>
      </c>
      <c r="AW15" s="235">
        <f>SUM(Table14[31/12/2026])</f>
        <v>0</v>
      </c>
      <c r="AX15" s="235">
        <f>SUM(Table14[30/01/2027])</f>
        <v>0</v>
      </c>
      <c r="AY15" s="235">
        <f>SUM(Table14[28/02/2027])</f>
        <v>0</v>
      </c>
      <c r="AZ15" s="235">
        <f>SUM(Table14[31/03/2027])</f>
        <v>0</v>
      </c>
      <c r="BA15" s="235">
        <f>SUM(Table14[30/04/2027])</f>
        <v>0</v>
      </c>
      <c r="BB15" s="235">
        <f>SUM(Table14[31/05/2027])</f>
        <v>0</v>
      </c>
      <c r="BC15" s="235">
        <f>SUM(Table14[30/06/2027])</f>
        <v>0</v>
      </c>
      <c r="BD15" s="235">
        <f>SUM(Table14[31/07/2027])</f>
        <v>0</v>
      </c>
      <c r="BE15" s="235">
        <f>SUM(Table14[31/08/2027])</f>
        <v>0</v>
      </c>
      <c r="BF15" s="235">
        <f>SUM(Table14[30/09/2027])</f>
        <v>0</v>
      </c>
      <c r="BG15" s="235">
        <f>SUM(Table14[31/10/2027])</f>
        <v>0</v>
      </c>
    </row>
    <row r="16" spans="1:61" ht="12.95" x14ac:dyDescent="0.3">
      <c r="A16" s="117"/>
      <c r="B16" s="126"/>
      <c r="C16" s="127"/>
      <c r="D16" s="141"/>
      <c r="E16" s="112"/>
      <c r="F16" s="112"/>
      <c r="H16" s="152" t="s">
        <v>65</v>
      </c>
      <c r="I16" s="156">
        <f>COUNTIFS('Regional allocations LIVE'!H:H,Table1116[[#This Row],[Business Unit]],'Regional allocations LIVE'!R:R,"")</f>
        <v>0</v>
      </c>
      <c r="J16" s="143"/>
      <c r="K16" s="143"/>
      <c r="M16" s="156">
        <f>COUNTIFS('Regional allocations LIVE'!H:H,Table1116[[#This Row],[Business Unit]],'Regional allocations LIVE'!U:U,"Y",'Regional allocations LIVE'!R:R,"")</f>
        <v>0</v>
      </c>
      <c r="N16" s="137">
        <f>Table1116[[#This Row],[Headcount]]-Table1116[[#This Row],[Contractors]]</f>
        <v>0</v>
      </c>
      <c r="O16" s="137">
        <f>Table1116[[#This Row],[Perm Headcount (minus contractors)]]+Table1116[[#This Row],[Vaccancies to backfill]]+Table1116[[#This Row],[Vaccancies for new roles]]</f>
        <v>0</v>
      </c>
      <c r="R16" s="111" t="s">
        <v>66</v>
      </c>
      <c r="S16" s="119"/>
      <c r="T16" s="119"/>
      <c r="U16" s="119"/>
      <c r="V16" s="119"/>
      <c r="W16" s="119"/>
      <c r="AG16" s="145"/>
      <c r="AH16" s="119"/>
      <c r="AI16" s="119"/>
      <c r="AJ16" s="119"/>
      <c r="AK16" s="119"/>
      <c r="AL16" s="119"/>
      <c r="AM16" s="119"/>
      <c r="AN16" s="119"/>
    </row>
    <row r="17" spans="1:59" ht="22.5" customHeight="1" x14ac:dyDescent="0.4">
      <c r="A17" s="117"/>
      <c r="B17" s="113" t="s">
        <v>67</v>
      </c>
      <c r="C17" s="120"/>
      <c r="D17" s="120"/>
      <c r="E17" s="112"/>
      <c r="F17" s="112"/>
      <c r="G17" s="112"/>
      <c r="O17" s="137"/>
      <c r="Q17" s="230"/>
      <c r="R17" s="164" t="s">
        <v>4</v>
      </c>
      <c r="S17" s="184" t="s">
        <v>5</v>
      </c>
      <c r="T17" s="184" t="s">
        <v>6</v>
      </c>
      <c r="U17" s="184" t="s">
        <v>7</v>
      </c>
      <c r="V17" s="184" t="s">
        <v>8</v>
      </c>
      <c r="W17" s="184" t="s">
        <v>9</v>
      </c>
      <c r="X17" s="184" t="s">
        <v>10</v>
      </c>
      <c r="Y17" s="184" t="s">
        <v>11</v>
      </c>
      <c r="Z17" s="184" t="s">
        <v>12</v>
      </c>
      <c r="AA17" s="184" t="s">
        <v>13</v>
      </c>
      <c r="AB17" s="184" t="s">
        <v>14</v>
      </c>
      <c r="AC17" s="184" t="s">
        <v>15</v>
      </c>
      <c r="AD17" s="184" t="s">
        <v>16</v>
      </c>
      <c r="AE17" s="210" t="s">
        <v>17</v>
      </c>
      <c r="AF17" s="210" t="s">
        <v>18</v>
      </c>
      <c r="AG17" s="151" t="s">
        <v>19</v>
      </c>
      <c r="AH17" s="210" t="s">
        <v>20</v>
      </c>
      <c r="AI17" s="210" t="s">
        <v>21</v>
      </c>
      <c r="AJ17" s="210" t="s">
        <v>22</v>
      </c>
      <c r="AK17" s="210" t="s">
        <v>23</v>
      </c>
      <c r="AL17" s="210" t="s">
        <v>24</v>
      </c>
      <c r="AM17" s="210" t="s">
        <v>25</v>
      </c>
      <c r="AN17" s="210" t="s">
        <v>26</v>
      </c>
      <c r="AO17" s="210" t="s">
        <v>27</v>
      </c>
      <c r="AP17" s="210" t="s">
        <v>28</v>
      </c>
      <c r="AQ17" s="210" t="s">
        <v>29</v>
      </c>
      <c r="AR17" s="210" t="s">
        <v>30</v>
      </c>
      <c r="AS17" s="210" t="s">
        <v>31</v>
      </c>
      <c r="AT17" s="210" t="s">
        <v>32</v>
      </c>
      <c r="AU17" s="210" t="s">
        <v>33</v>
      </c>
      <c r="AV17" s="210" t="s">
        <v>34</v>
      </c>
      <c r="AW17" s="210" t="s">
        <v>35</v>
      </c>
      <c r="AX17" s="210" t="s">
        <v>36</v>
      </c>
      <c r="AY17" s="210" t="s">
        <v>37</v>
      </c>
      <c r="AZ17" s="210" t="s">
        <v>38</v>
      </c>
      <c r="BA17" s="210" t="s">
        <v>39</v>
      </c>
      <c r="BB17" s="210" t="s">
        <v>40</v>
      </c>
      <c r="BC17" s="210" t="s">
        <v>41</v>
      </c>
      <c r="BD17" s="210" t="s">
        <v>42</v>
      </c>
      <c r="BE17" s="210" t="s">
        <v>43</v>
      </c>
      <c r="BF17" s="210" t="s">
        <v>44</v>
      </c>
      <c r="BG17" s="210" t="s">
        <v>45</v>
      </c>
    </row>
    <row r="18" spans="1:59" ht="20.100000000000001" x14ac:dyDescent="0.4">
      <c r="A18" s="117"/>
      <c r="B18" s="113"/>
      <c r="C18" s="120"/>
      <c r="D18" s="120"/>
      <c r="E18" s="112"/>
      <c r="F18" s="112"/>
      <c r="G18" s="112"/>
      <c r="R18" s="199" t="s">
        <v>46</v>
      </c>
      <c r="S18" s="200">
        <v>0</v>
      </c>
      <c r="T18" s="200">
        <v>3</v>
      </c>
      <c r="U18" s="200">
        <v>1</v>
      </c>
      <c r="V18" s="200">
        <v>2</v>
      </c>
      <c r="W18" s="201">
        <v>3</v>
      </c>
      <c r="X18" s="197"/>
      <c r="Y18" s="182"/>
      <c r="Z18" s="202">
        <v>1</v>
      </c>
      <c r="AA18" s="197"/>
      <c r="AB18" s="190">
        <v>1</v>
      </c>
      <c r="AC18" s="164"/>
      <c r="AD18" s="164">
        <v>1</v>
      </c>
      <c r="AE18" s="197">
        <v>2</v>
      </c>
      <c r="AF18" s="197">
        <f>SUMIFS('Regional allocations LIVE'!$T:$T,
  'Regional allocations LIVE'!$H:$H, $R18,
  'Regional allocations LIVE'!$D:$D, "&gt;=" &amp; AF$4,
  'Regional allocations LIVE'!$D:$D, "&lt;=" &amp; Table14[[#Headers],[31/07/2025]]
)</f>
        <v>1</v>
      </c>
      <c r="AG18" s="197">
        <f>SUMIFS('Regional allocations LIVE'!$T:$T,
  'Regional allocations LIVE'!$H:$H, $R18,
  'Regional allocations LIVE'!$D:$D, "&gt;=" &amp; AG$4,
  'Regional allocations LIVE'!$D:$D, "&lt;=" &amp; Table14[[#Headers],[31/08/2025]]
)</f>
        <v>0</v>
      </c>
      <c r="AH18" s="254">
        <f>SUMIFS('Regional allocations LIVE'!$T:$T,
  'Regional allocations LIVE'!$H:$H, $R18,
  'Regional allocations LIVE'!$D:$D, "&gt;=" &amp; AH$4,
  'Regional allocations LIVE'!$D:$D, "&lt;=" &amp; Table14[[#Headers],[30/09/2025]]
)</f>
        <v>3</v>
      </c>
      <c r="AI18" s="197">
        <f>SUMIFS('Regional allocations LIVE'!$T:$T,
  'Regional allocations LIVE'!$H:$H, $R18,
  'Regional allocations LIVE'!$D:$D, "&gt;=" &amp; AI$4,
  'Regional allocations LIVE'!$D:$D, "&lt;=" &amp; Table14[[#Headers],[31/10/2025]]
)</f>
        <v>2</v>
      </c>
      <c r="AJ18" s="197">
        <f>SUMIFS('Regional allocations LIVE'!$T:$T,
  'Regional allocations LIVE'!$H:$H, $R18,
  'Regional allocations LIVE'!$D:$D, "&gt;=" &amp; AJ$4,
  'Regional allocations LIVE'!$D:$D, "&lt;=" &amp; Table14[[#Headers],[30/11/2025]]
)</f>
        <v>4</v>
      </c>
      <c r="AK18" s="197">
        <f>SUMIFS('Regional allocations LIVE'!$T:$T,
  'Regional allocations LIVE'!$H:$H, $R18,
  'Regional allocations LIVE'!$D:$D, "&gt;=" &amp; AK$4,
  'Regional allocations LIVE'!$D:$D, "&lt;=" &amp; Table14[[#Headers],[31/12/2025]]
)</f>
        <v>1</v>
      </c>
      <c r="AL18" s="197">
        <f>SUMIFS('Regional allocations LIVE'!$T:$T,
  'Regional allocations LIVE'!$H:$H, $R18,
  'Regional allocations LIVE'!$D:$D, "&gt;=" &amp; AL$4,
  'Regional allocations LIVE'!$D:$D, "&lt;=" &amp; Table14[[#Headers],[30/01/2026]]
)</f>
        <v>0</v>
      </c>
      <c r="AM18" s="197">
        <f>SUMIFS('Regional allocations LIVE'!$T:$T,
  'Regional allocations LIVE'!$H:$H, $R18,
  'Regional allocations LIVE'!$D:$D, "&gt;=" &amp; AM$4,
  'Regional allocations LIVE'!$D:$D, "&lt;=" &amp; Table14[[#Headers],[28/02/2026]]
)</f>
        <v>0</v>
      </c>
      <c r="AN18" s="197">
        <f>SUMIFS('Regional allocations LIVE'!$T:$T,
  'Regional allocations LIVE'!$H:$H, $R18,
  'Regional allocations LIVE'!$D:$D, "&gt;=" &amp; AN$4,
  'Regional allocations LIVE'!$D:$D, "&lt;=" &amp; Table14[[#Headers],[31/03/2026]]
)</f>
        <v>0</v>
      </c>
      <c r="AO18" s="197">
        <f>SUMIFS('Regional allocations LIVE'!$T:$T,
  'Regional allocations LIVE'!$H:$H, $R18,
  'Regional allocations LIVE'!$D:$D, "&gt;=" &amp; AO$4,
  'Regional allocations LIVE'!$D:$D, "&lt;=" &amp; Table14[[#Headers],[30/04/2026]]
)</f>
        <v>0</v>
      </c>
      <c r="AP18" s="197">
        <f>SUMIFS('Regional allocations LIVE'!$T:$T,
  'Regional allocations LIVE'!$H:$H, $R18,
  'Regional allocations LIVE'!$D:$D, "&gt;=" &amp; AP$4,
  'Regional allocations LIVE'!$D:$D, "&lt;=" &amp; Table14[[#Headers],[31/05/2026]]
)</f>
        <v>0</v>
      </c>
      <c r="AQ18" s="197">
        <f>SUMIFS('Regional allocations LIVE'!$T:$T,
  'Regional allocations LIVE'!$H:$H, $R18,
  'Regional allocations LIVE'!$D:$D, "&gt;=" &amp; AQ$4,
  'Regional allocations LIVE'!$D:$D, "&lt;=" &amp; Table14[[#Headers],[30/06/2026]]
)</f>
        <v>0</v>
      </c>
      <c r="AR18" s="197">
        <f>SUMIFS('Regional allocations LIVE'!$T:$T,
  'Regional allocations LIVE'!$H:$H, $R18,
  'Regional allocations LIVE'!$D:$D, "&gt;=" &amp; AR$4,
  'Regional allocations LIVE'!$D:$D, "&lt;=" &amp; Table14[[#Headers],[31/07/2026]]
)</f>
        <v>0</v>
      </c>
      <c r="AS18" s="197">
        <f>SUMIFS('Regional allocations LIVE'!$T:$T,
  'Regional allocations LIVE'!$H:$H, $R18,
  'Regional allocations LIVE'!$D:$D, "&gt;=" &amp; AS$4,
  'Regional allocations LIVE'!$D:$D, "&lt;=" &amp; Table14[[#Headers],[31/08/2026]]
)</f>
        <v>0</v>
      </c>
      <c r="AT18" s="197">
        <f>SUMIFS('Regional allocations LIVE'!$T:$T,
  'Regional allocations LIVE'!$H:$H, $R18,
  'Regional allocations LIVE'!$D:$D, "&gt;=" &amp; AT$4,
  'Regional allocations LIVE'!$D:$D, "&lt;=" &amp; Table14[[#Headers],[30/09/2026]]
)</f>
        <v>0</v>
      </c>
      <c r="AU18" s="197">
        <f>SUMIFS('Regional allocations LIVE'!$T:$T,
  'Regional allocations LIVE'!$H:$H, $R18,
  'Regional allocations LIVE'!$D:$D, "&gt;=" &amp; AU$4,
  'Regional allocations LIVE'!$D:$D, "&lt;=" &amp; Table14[[#Headers],[31/10/2026]]
)</f>
        <v>0</v>
      </c>
      <c r="AV18" s="197">
        <f>SUMIFS('Regional allocations LIVE'!$T:$T,
  'Regional allocations LIVE'!$H:$H, $R18,
  'Regional allocations LIVE'!$D:$D, "&gt;=" &amp; AV$4,
  'Regional allocations LIVE'!$D:$D, "&lt;=" &amp; Table14[[#Headers],[30/11/2026]]
)</f>
        <v>0</v>
      </c>
      <c r="AW18" s="197">
        <f>SUMIFS('Regional allocations LIVE'!$T:$T,
  'Regional allocations LIVE'!$H:$H, $R18,
  'Regional allocations LIVE'!$D:$D, "&gt;=" &amp; AW$4,
  'Regional allocations LIVE'!$D:$D, "&lt;=" &amp; Table14[[#Headers],[31/12/2026]]
)</f>
        <v>0</v>
      </c>
      <c r="AX18" s="197">
        <f>SUMIFS('Regional allocations LIVE'!$T:$T,
  'Regional allocations LIVE'!$H:$H, $R18,
  'Regional allocations LIVE'!$D:$D, "&gt;=" &amp; AX$4,
  'Regional allocations LIVE'!$D:$D, "&lt;=" &amp; Table14[[#Headers],[30/01/2027]]
)</f>
        <v>0</v>
      </c>
      <c r="AY18" s="197">
        <f>SUMIFS('Regional allocations LIVE'!$T:$T,
  'Regional allocations LIVE'!$H:$H, $R18,
  'Regional allocations LIVE'!$D:$D, "&gt;=" &amp; AY$4,
  'Regional allocations LIVE'!$D:$D, "&lt;=" &amp; Table14[[#Headers],[28/02/2027]]
)</f>
        <v>0</v>
      </c>
      <c r="AZ18" s="197">
        <f>SUMIFS('Regional allocations LIVE'!$T:$T,
  'Regional allocations LIVE'!$H:$H, $R18,
  'Regional allocations LIVE'!$D:$D, "&gt;=" &amp; AZ$4,
  'Regional allocations LIVE'!$D:$D, "&lt;=" &amp; Table14[[#Headers],[31/03/2027]]
)</f>
        <v>0</v>
      </c>
      <c r="BA18" s="197">
        <f>SUMIFS('Regional allocations LIVE'!$T:$T,
  'Regional allocations LIVE'!$H:$H, $R18,
  'Regional allocations LIVE'!$D:$D, "&gt;=" &amp; BA$4,
  'Regional allocations LIVE'!$D:$D, "&lt;=" &amp; Table14[[#Headers],[30/04/2027]]
)</f>
        <v>0</v>
      </c>
      <c r="BB18" s="197">
        <f>SUMIFS('Regional allocations LIVE'!$T:$T,
  'Regional allocations LIVE'!$H:$H, $R18,
  'Regional allocations LIVE'!$D:$D, "&gt;=" &amp; BB$4,
  'Regional allocations LIVE'!$D:$D, "&lt;=" &amp; Table14[[#Headers],[31/05/2027]]
)</f>
        <v>0</v>
      </c>
      <c r="BC18" s="197">
        <f>SUMIFS('Regional allocations LIVE'!$T:$T,
  'Regional allocations LIVE'!$H:$H, $R18,
  'Regional allocations LIVE'!$D:$D, "&gt;=" &amp; BC$4,
  'Regional allocations LIVE'!$D:$D, "&lt;=" &amp; Table14[[#Headers],[30/06/2027]]
)</f>
        <v>0</v>
      </c>
      <c r="BD18" s="197">
        <f>SUMIFS('Regional allocations LIVE'!$T:$T,
  'Regional allocations LIVE'!$H:$H, $R18,
  'Regional allocations LIVE'!$D:$D, "&gt;=" &amp; BD$4,
  'Regional allocations LIVE'!$D:$D, "&lt;=" &amp; Table14[[#Headers],[31/07/2027]]
)</f>
        <v>0</v>
      </c>
      <c r="BE18" s="197">
        <f>SUMIFS('Regional allocations LIVE'!$T:$T,
  'Regional allocations LIVE'!$H:$H, $R18,
  'Regional allocations LIVE'!$D:$D, "&gt;=" &amp; BE$4,
  'Regional allocations LIVE'!$D:$D, "&lt;=" &amp; Table14[[#Headers],[31/08/2027]]
)</f>
        <v>0</v>
      </c>
      <c r="BF18" s="197">
        <f>SUMIFS('Regional allocations LIVE'!$T:$T,
  'Regional allocations LIVE'!$H:$H, $R18,
  'Regional allocations LIVE'!$D:$D, "&gt;=" &amp; BF$4,
  'Regional allocations LIVE'!$D:$D, "&lt;=" &amp; Table14[[#Headers],[30/09/2027]]
)</f>
        <v>0</v>
      </c>
      <c r="BG18" s="197">
        <f>SUMIFS('Regional allocations LIVE'!$T:$T,
  'Regional allocations LIVE'!$H:$H, $R18,
  'Regional allocations LIVE'!$D:$D, "&gt;=" &amp; BG$4,
  'Regional allocations LIVE'!$D:$D, "&lt;=" &amp; Table14[[#Headers],[31/10/2027]]
)</f>
        <v>0</v>
      </c>
    </row>
    <row r="19" spans="1:59" ht="12.95" x14ac:dyDescent="0.3">
      <c r="A19" s="117"/>
      <c r="B19" s="124" t="s">
        <v>68</v>
      </c>
      <c r="C19" s="125" t="s">
        <v>47</v>
      </c>
      <c r="D19" s="142"/>
      <c r="E19" s="112"/>
      <c r="F19" s="112"/>
      <c r="G19" s="112"/>
      <c r="H19" s="185"/>
      <c r="I19" s="185"/>
      <c r="J19" s="140" t="s">
        <v>48</v>
      </c>
      <c r="K19" s="112"/>
      <c r="L19" s="211" t="s">
        <v>69</v>
      </c>
      <c r="M19" s="144"/>
      <c r="R19" s="152" t="s">
        <v>55</v>
      </c>
      <c r="S19" s="153">
        <v>0</v>
      </c>
      <c r="T19" s="153">
        <v>0</v>
      </c>
      <c r="U19" s="153">
        <v>0</v>
      </c>
      <c r="V19" s="153">
        <v>0</v>
      </c>
      <c r="W19" s="170">
        <v>0</v>
      </c>
      <c r="X19" s="164"/>
      <c r="Y19" s="155"/>
      <c r="Z19" s="171"/>
      <c r="AA19" s="164"/>
      <c r="AB19" s="190"/>
      <c r="AC19" s="164"/>
      <c r="AD19" s="164"/>
      <c r="AE19" s="164"/>
      <c r="AF19" s="197">
        <f>SUMIFS('Regional allocations LIVE'!$T:$T,
  'Regional allocations LIVE'!$H:$H, $R19,
  'Regional allocations LIVE'!$D:$D, "&gt;=" &amp; AF$4,
  'Regional allocations LIVE'!$D:$D, "&lt;=" &amp; Table14[[#Headers],[31/07/2025]]
)</f>
        <v>0</v>
      </c>
      <c r="AG19" s="197">
        <f>SUMIFS('Regional allocations LIVE'!$T:$T,
  'Regional allocations LIVE'!$H:$H, $R19,
  'Regional allocations LIVE'!$D:$D, "&gt;=" &amp; AG$4,
  'Regional allocations LIVE'!$D:$D, "&lt;=" &amp; Table14[[#Headers],[31/08/2025]]
)</f>
        <v>0</v>
      </c>
      <c r="AH19" s="197">
        <f>SUMIFS('Regional allocations LIVE'!$T:$T,
  'Regional allocations LIVE'!$H:$H, $R19,
  'Regional allocations LIVE'!$D:$D, "&gt;=" &amp; AH$4,
  'Regional allocations LIVE'!$D:$D, "&lt;=" &amp; Table14[[#Headers],[30/09/2025]]
)</f>
        <v>0</v>
      </c>
      <c r="AI19" s="197">
        <f>SUMIFS('Regional allocations LIVE'!$T:$T,
  'Regional allocations LIVE'!$H:$H, $R19,
  'Regional allocations LIVE'!$D:$D, "&gt;=" &amp; AI$4,
  'Regional allocations LIVE'!$D:$D, "&lt;=" &amp; Table14[[#Headers],[31/10/2025]]
)</f>
        <v>0</v>
      </c>
      <c r="AJ19" s="197">
        <f>SUMIFS('Regional allocations LIVE'!$T:$T,
  'Regional allocations LIVE'!$H:$H, $R19,
  'Regional allocations LIVE'!$D:$D, "&gt;=" &amp; AJ$4,
  'Regional allocations LIVE'!$D:$D, "&lt;=" &amp; Table14[[#Headers],[30/11/2025]]
)</f>
        <v>0</v>
      </c>
      <c r="AK19" s="197">
        <f>SUMIFS('Regional allocations LIVE'!$T:$T,
  'Regional allocations LIVE'!$H:$H, $R19,
  'Regional allocations LIVE'!$D:$D, "&gt;=" &amp; AK$4,
  'Regional allocations LIVE'!$D:$D, "&lt;=" &amp; Table14[[#Headers],[31/12/2025]]
)</f>
        <v>0</v>
      </c>
      <c r="AL19" s="197">
        <f>SUMIFS('Regional allocations LIVE'!$T:$T,
  'Regional allocations LIVE'!$H:$H, $R19,
  'Regional allocations LIVE'!$D:$D, "&gt;=" &amp; AL$4,
  'Regional allocations LIVE'!$D:$D, "&lt;=" &amp; Table14[[#Headers],[30/01/2026]]
)</f>
        <v>0</v>
      </c>
      <c r="AM19" s="197">
        <f>SUMIFS('Regional allocations LIVE'!$T:$T,
  'Regional allocations LIVE'!$H:$H, $R19,
  'Regional allocations LIVE'!$D:$D, "&gt;=" &amp; AM$4,
  'Regional allocations LIVE'!$D:$D, "&lt;=" &amp; Table14[[#Headers],[28/02/2026]]
)</f>
        <v>0</v>
      </c>
      <c r="AN19" s="197">
        <f>SUMIFS('Regional allocations LIVE'!$T:$T,
  'Regional allocations LIVE'!$H:$H, $R19,
  'Regional allocations LIVE'!$D:$D, "&gt;=" &amp; AN$4,
  'Regional allocations LIVE'!$D:$D, "&lt;=" &amp; Table14[[#Headers],[31/03/2026]]
)</f>
        <v>0</v>
      </c>
      <c r="AO19" s="197">
        <f>SUMIFS('Regional allocations LIVE'!$T:$T,
  'Regional allocations LIVE'!$H:$H, $R19,
  'Regional allocations LIVE'!$D:$D, "&gt;=" &amp; AO$4,
  'Regional allocations LIVE'!$D:$D, "&lt;=" &amp; Table14[[#Headers],[30/04/2026]]
)</f>
        <v>0</v>
      </c>
      <c r="AP19" s="197">
        <f>SUMIFS('Regional allocations LIVE'!$T:$T,
  'Regional allocations LIVE'!$H:$H, $R19,
  'Regional allocations LIVE'!$D:$D, "&gt;=" &amp; AP$4,
  'Regional allocations LIVE'!$D:$D, "&lt;=" &amp; Table14[[#Headers],[31/05/2026]]
)</f>
        <v>0</v>
      </c>
      <c r="AQ19" s="197">
        <f>SUMIFS('Regional allocations LIVE'!$T:$T,
  'Regional allocations LIVE'!$H:$H, $R19,
  'Regional allocations LIVE'!$D:$D, "&gt;=" &amp; AQ$4,
  'Regional allocations LIVE'!$D:$D, "&lt;=" &amp; Table14[[#Headers],[30/06/2026]]
)</f>
        <v>0</v>
      </c>
      <c r="AR19" s="197">
        <f>SUMIFS('Regional allocations LIVE'!$T:$T,
  'Regional allocations LIVE'!$H:$H, $R19,
  'Regional allocations LIVE'!$D:$D, "&gt;=" &amp; AR$4,
  'Regional allocations LIVE'!$D:$D, "&lt;=" &amp; Table14[[#Headers],[31/07/2026]]
)</f>
        <v>0</v>
      </c>
      <c r="AS19" s="197">
        <f>SUMIFS('Regional allocations LIVE'!$T:$T,
  'Regional allocations LIVE'!$H:$H, $R19,
  'Regional allocations LIVE'!$D:$D, "&gt;=" &amp; AS$4,
  'Regional allocations LIVE'!$D:$D, "&lt;=" &amp; Table14[[#Headers],[31/08/2026]]
)</f>
        <v>0</v>
      </c>
      <c r="AT19" s="197">
        <f>SUMIFS('Regional allocations LIVE'!$T:$T,
  'Regional allocations LIVE'!$H:$H, $R19,
  'Regional allocations LIVE'!$D:$D, "&gt;=" &amp; AT$4,
  'Regional allocations LIVE'!$D:$D, "&lt;=" &amp; Table14[[#Headers],[30/09/2026]]
)</f>
        <v>0</v>
      </c>
      <c r="AU19" s="197">
        <f>SUMIFS('Regional allocations LIVE'!$T:$T,
  'Regional allocations LIVE'!$H:$H, $R19,
  'Regional allocations LIVE'!$D:$D, "&gt;=" &amp; AU$4,
  'Regional allocations LIVE'!$D:$D, "&lt;=" &amp; Table14[[#Headers],[31/10/2026]]
)</f>
        <v>0</v>
      </c>
      <c r="AV19" s="197">
        <f>SUMIFS('Regional allocations LIVE'!$T:$T,
  'Regional allocations LIVE'!$H:$H, $R19,
  'Regional allocations LIVE'!$D:$D, "&gt;=" &amp; AV$4,
  'Regional allocations LIVE'!$D:$D, "&lt;=" &amp; Table14[[#Headers],[30/11/2026]]
)</f>
        <v>0</v>
      </c>
      <c r="AW19" s="197">
        <f>SUMIFS('Regional allocations LIVE'!$T:$T,
  'Regional allocations LIVE'!$H:$H, $R19,
  'Regional allocations LIVE'!$D:$D, "&gt;=" &amp; AW$4,
  'Regional allocations LIVE'!$D:$D, "&lt;=" &amp; Table14[[#Headers],[31/12/2026]]
)</f>
        <v>0</v>
      </c>
      <c r="AX19" s="197">
        <f>SUMIFS('Regional allocations LIVE'!$T:$T,
  'Regional allocations LIVE'!$H:$H, $R19,
  'Regional allocations LIVE'!$D:$D, "&gt;=" &amp; AX$4,
  'Regional allocations LIVE'!$D:$D, "&lt;=" &amp; Table14[[#Headers],[30/01/2027]]
)</f>
        <v>0</v>
      </c>
      <c r="AY19" s="197">
        <f>SUMIFS('Regional allocations LIVE'!$T:$T,
  'Regional allocations LIVE'!$H:$H, $R19,
  'Regional allocations LIVE'!$D:$D, "&gt;=" &amp; AY$4,
  'Regional allocations LIVE'!$D:$D, "&lt;=" &amp; Table14[[#Headers],[28/02/2027]]
)</f>
        <v>0</v>
      </c>
      <c r="AZ19" s="197">
        <f>SUMIFS('Regional allocations LIVE'!$T:$T,
  'Regional allocations LIVE'!$H:$H, $R19,
  'Regional allocations LIVE'!$D:$D, "&gt;=" &amp; AZ$4,
  'Regional allocations LIVE'!$D:$D, "&lt;=" &amp; Table14[[#Headers],[31/03/2027]]
)</f>
        <v>0</v>
      </c>
      <c r="BA19" s="197">
        <f>SUMIFS('Regional allocations LIVE'!$T:$T,
  'Regional allocations LIVE'!$H:$H, $R19,
  'Regional allocations LIVE'!$D:$D, "&gt;=" &amp; BA$4,
  'Regional allocations LIVE'!$D:$D, "&lt;=" &amp; Table14[[#Headers],[30/04/2027]]
)</f>
        <v>0</v>
      </c>
      <c r="BB19" s="197">
        <f>SUMIFS('Regional allocations LIVE'!$T:$T,
  'Regional allocations LIVE'!$H:$H, $R19,
  'Regional allocations LIVE'!$D:$D, "&gt;=" &amp; BB$4,
  'Regional allocations LIVE'!$D:$D, "&lt;=" &amp; Table14[[#Headers],[31/05/2027]]
)</f>
        <v>0</v>
      </c>
      <c r="BC19" s="197">
        <f>SUMIFS('Regional allocations LIVE'!$T:$T,
  'Regional allocations LIVE'!$H:$H, $R19,
  'Regional allocations LIVE'!$D:$D, "&gt;=" &amp; BC$4,
  'Regional allocations LIVE'!$D:$D, "&lt;=" &amp; Table14[[#Headers],[30/06/2027]]
)</f>
        <v>0</v>
      </c>
      <c r="BD19" s="197">
        <f>SUMIFS('Regional allocations LIVE'!$T:$T,
  'Regional allocations LIVE'!$H:$H, $R19,
  'Regional allocations LIVE'!$D:$D, "&gt;=" &amp; BD$4,
  'Regional allocations LIVE'!$D:$D, "&lt;=" &amp; Table14[[#Headers],[31/07/2027]]
)</f>
        <v>0</v>
      </c>
      <c r="BE19" s="197">
        <f>SUMIFS('Regional allocations LIVE'!$T:$T,
  'Regional allocations LIVE'!$H:$H, $R19,
  'Regional allocations LIVE'!$D:$D, "&gt;=" &amp; BE$4,
  'Regional allocations LIVE'!$D:$D, "&lt;=" &amp; Table14[[#Headers],[31/08/2027]]
)</f>
        <v>0</v>
      </c>
      <c r="BF19" s="197">
        <f>SUMIFS('Regional allocations LIVE'!$T:$T,
  'Regional allocations LIVE'!$H:$H, $R19,
  'Regional allocations LIVE'!$D:$D, "&gt;=" &amp; BF$4,
  'Regional allocations LIVE'!$D:$D, "&lt;=" &amp; Table14[[#Headers],[30/09/2027]]
)</f>
        <v>0</v>
      </c>
      <c r="BG19" s="197">
        <f>SUMIFS('Regional allocations LIVE'!$T:$T,
  'Regional allocations LIVE'!$H:$H, $R19,
  'Regional allocations LIVE'!$D:$D, "&gt;=" &amp; BG$4,
  'Regional allocations LIVE'!$D:$D, "&lt;=" &amp; Table14[[#Headers],[31/10/2027]]
)</f>
        <v>0</v>
      </c>
    </row>
    <row r="20" spans="1:59" ht="12.95" x14ac:dyDescent="0.3">
      <c r="B20" s="122" t="s">
        <v>70</v>
      </c>
      <c r="C20" s="123">
        <v>139</v>
      </c>
      <c r="D20" s="143"/>
      <c r="E20" s="128" t="e">
        <f>SUM(Table12[Headcount])</f>
        <v>#REF!</v>
      </c>
      <c r="F20" s="128"/>
      <c r="G20" s="112"/>
      <c r="H20" s="185"/>
      <c r="I20" s="185"/>
      <c r="J20" s="128">
        <f>I11+I12+I14+2</f>
        <v>108</v>
      </c>
      <c r="K20" s="112"/>
      <c r="L20" s="137">
        <f>J20+J11+J12+J14</f>
        <v>115</v>
      </c>
      <c r="M20" s="144"/>
      <c r="R20" s="152" t="s">
        <v>56</v>
      </c>
      <c r="S20" s="153">
        <v>0</v>
      </c>
      <c r="T20" s="153">
        <v>0</v>
      </c>
      <c r="U20" s="153">
        <v>0</v>
      </c>
      <c r="V20" s="153">
        <v>1</v>
      </c>
      <c r="W20" s="170">
        <v>0</v>
      </c>
      <c r="X20" s="164"/>
      <c r="Y20" s="155"/>
      <c r="Z20" s="171"/>
      <c r="AA20" s="164"/>
      <c r="AB20" s="190"/>
      <c r="AC20" s="164">
        <v>1</v>
      </c>
      <c r="AD20" s="164"/>
      <c r="AE20" s="164"/>
      <c r="AF20" s="197">
        <f>SUMIFS('Regional allocations LIVE'!$T:$T,
  'Regional allocations LIVE'!$H:$H, $R20,
  'Regional allocations LIVE'!$D:$D, "&gt;=" &amp; AF$4,
  'Regional allocations LIVE'!$D:$D, "&lt;=" &amp; Table14[[#Headers],[31/07/2025]]
)</f>
        <v>0</v>
      </c>
      <c r="AG20" s="197">
        <f>SUMIFS('Regional allocations LIVE'!$T:$T,
  'Regional allocations LIVE'!$H:$H, $R20,
  'Regional allocations LIVE'!$D:$D, "&gt;=" &amp; AG$4,
  'Regional allocations LIVE'!$D:$D, "&lt;=" &amp; Table14[[#Headers],[31/08/2025]]
)</f>
        <v>0</v>
      </c>
      <c r="AH20" s="197">
        <f>SUMIFS('Regional allocations LIVE'!$T:$T,
  'Regional allocations LIVE'!$H:$H, $R20,
  'Regional allocations LIVE'!$D:$D, "&gt;=" &amp; AH$4,
  'Regional allocations LIVE'!$D:$D, "&lt;=" &amp; Table14[[#Headers],[30/09/2025]]
)</f>
        <v>0</v>
      </c>
      <c r="AI20" s="197">
        <f>SUMIFS('Regional allocations LIVE'!$T:$T,
  'Regional allocations LIVE'!$H:$H, $R20,
  'Regional allocations LIVE'!$D:$D, "&gt;=" &amp; AI$4,
  'Regional allocations LIVE'!$D:$D, "&lt;=" &amp; Table14[[#Headers],[31/10/2025]]
)</f>
        <v>1</v>
      </c>
      <c r="AJ20" s="197">
        <f>SUMIFS('Regional allocations LIVE'!$T:$T,
  'Regional allocations LIVE'!$H:$H, $R20,
  'Regional allocations LIVE'!$D:$D, "&gt;=" &amp; AJ$4,
  'Regional allocations LIVE'!$D:$D, "&lt;=" &amp; Table14[[#Headers],[30/11/2025]]
)</f>
        <v>0</v>
      </c>
      <c r="AK20" s="197">
        <f>SUMIFS('Regional allocations LIVE'!$T:$T,
  'Regional allocations LIVE'!$H:$H, $R20,
  'Regional allocations LIVE'!$D:$D, "&gt;=" &amp; AK$4,
  'Regional allocations LIVE'!$D:$D, "&lt;=" &amp; Table14[[#Headers],[31/12/2025]]
)</f>
        <v>0</v>
      </c>
      <c r="AL20" s="197">
        <f>SUMIFS('Regional allocations LIVE'!$T:$T,
  'Regional allocations LIVE'!$H:$H, $R20,
  'Regional allocations LIVE'!$D:$D, "&gt;=" &amp; AL$4,
  'Regional allocations LIVE'!$D:$D, "&lt;=" &amp; Table14[[#Headers],[30/01/2026]]
)</f>
        <v>0</v>
      </c>
      <c r="AM20" s="197">
        <f>SUMIFS('Regional allocations LIVE'!$T:$T,
  'Regional allocations LIVE'!$H:$H, $R20,
  'Regional allocations LIVE'!$D:$D, "&gt;=" &amp; AM$4,
  'Regional allocations LIVE'!$D:$D, "&lt;=" &amp; Table14[[#Headers],[28/02/2026]]
)</f>
        <v>0</v>
      </c>
      <c r="AN20" s="197">
        <f>SUMIFS('Regional allocations LIVE'!$T:$T,
  'Regional allocations LIVE'!$H:$H, $R20,
  'Regional allocations LIVE'!$D:$D, "&gt;=" &amp; AN$4,
  'Regional allocations LIVE'!$D:$D, "&lt;=" &amp; Table14[[#Headers],[31/03/2026]]
)</f>
        <v>0</v>
      </c>
      <c r="AO20" s="197">
        <f>SUMIFS('Regional allocations LIVE'!$T:$T,
  'Regional allocations LIVE'!$H:$H, $R20,
  'Regional allocations LIVE'!$D:$D, "&gt;=" &amp; AO$4,
  'Regional allocations LIVE'!$D:$D, "&lt;=" &amp; Table14[[#Headers],[30/04/2026]]
)</f>
        <v>0</v>
      </c>
      <c r="AP20" s="197">
        <f>SUMIFS('Regional allocations LIVE'!$T:$T,
  'Regional allocations LIVE'!$H:$H, $R20,
  'Regional allocations LIVE'!$D:$D, "&gt;=" &amp; AP$4,
  'Regional allocations LIVE'!$D:$D, "&lt;=" &amp; Table14[[#Headers],[31/05/2026]]
)</f>
        <v>0</v>
      </c>
      <c r="AQ20" s="197">
        <f>SUMIFS('Regional allocations LIVE'!$T:$T,
  'Regional allocations LIVE'!$H:$H, $R20,
  'Regional allocations LIVE'!$D:$D, "&gt;=" &amp; AQ$4,
  'Regional allocations LIVE'!$D:$D, "&lt;=" &amp; Table14[[#Headers],[30/06/2026]]
)</f>
        <v>0</v>
      </c>
      <c r="AR20" s="197">
        <f>SUMIFS('Regional allocations LIVE'!$T:$T,
  'Regional allocations LIVE'!$H:$H, $R20,
  'Regional allocations LIVE'!$D:$D, "&gt;=" &amp; AR$4,
  'Regional allocations LIVE'!$D:$D, "&lt;=" &amp; Table14[[#Headers],[31/07/2026]]
)</f>
        <v>0</v>
      </c>
      <c r="AS20" s="197">
        <f>SUMIFS('Regional allocations LIVE'!$T:$T,
  'Regional allocations LIVE'!$H:$H, $R20,
  'Regional allocations LIVE'!$D:$D, "&gt;=" &amp; AS$4,
  'Regional allocations LIVE'!$D:$D, "&lt;=" &amp; Table14[[#Headers],[31/08/2026]]
)</f>
        <v>0</v>
      </c>
      <c r="AT20" s="197">
        <f>SUMIFS('Regional allocations LIVE'!$T:$T,
  'Regional allocations LIVE'!$H:$H, $R20,
  'Regional allocations LIVE'!$D:$D, "&gt;=" &amp; AT$4,
  'Regional allocations LIVE'!$D:$D, "&lt;=" &amp; Table14[[#Headers],[30/09/2026]]
)</f>
        <v>0</v>
      </c>
      <c r="AU20" s="197">
        <f>SUMIFS('Regional allocations LIVE'!$T:$T,
  'Regional allocations LIVE'!$H:$H, $R20,
  'Regional allocations LIVE'!$D:$D, "&gt;=" &amp; AU$4,
  'Regional allocations LIVE'!$D:$D, "&lt;=" &amp; Table14[[#Headers],[31/10/2026]]
)</f>
        <v>0</v>
      </c>
      <c r="AV20" s="197">
        <f>SUMIFS('Regional allocations LIVE'!$T:$T,
  'Regional allocations LIVE'!$H:$H, $R20,
  'Regional allocations LIVE'!$D:$D, "&gt;=" &amp; AV$4,
  'Regional allocations LIVE'!$D:$D, "&lt;=" &amp; Table14[[#Headers],[30/11/2026]]
)</f>
        <v>0</v>
      </c>
      <c r="AW20" s="197">
        <f>SUMIFS('Regional allocations LIVE'!$T:$T,
  'Regional allocations LIVE'!$H:$H, $R20,
  'Regional allocations LIVE'!$D:$D, "&gt;=" &amp; AW$4,
  'Regional allocations LIVE'!$D:$D, "&lt;=" &amp; Table14[[#Headers],[31/12/2026]]
)</f>
        <v>0</v>
      </c>
      <c r="AX20" s="197">
        <f>SUMIFS('Regional allocations LIVE'!$T:$T,
  'Regional allocations LIVE'!$H:$H, $R20,
  'Regional allocations LIVE'!$D:$D, "&gt;=" &amp; AX$4,
  'Regional allocations LIVE'!$D:$D, "&lt;=" &amp; Table14[[#Headers],[30/01/2027]]
)</f>
        <v>0</v>
      </c>
      <c r="AY20" s="197">
        <f>SUMIFS('Regional allocations LIVE'!$T:$T,
  'Regional allocations LIVE'!$H:$H, $R20,
  'Regional allocations LIVE'!$D:$D, "&gt;=" &amp; AY$4,
  'Regional allocations LIVE'!$D:$D, "&lt;=" &amp; Table14[[#Headers],[28/02/2027]]
)</f>
        <v>0</v>
      </c>
      <c r="AZ20" s="197">
        <f>SUMIFS('Regional allocations LIVE'!$T:$T,
  'Regional allocations LIVE'!$H:$H, $R20,
  'Regional allocations LIVE'!$D:$D, "&gt;=" &amp; AZ$4,
  'Regional allocations LIVE'!$D:$D, "&lt;=" &amp; Table14[[#Headers],[31/03/2027]]
)</f>
        <v>0</v>
      </c>
      <c r="BA20" s="197">
        <f>SUMIFS('Regional allocations LIVE'!$T:$T,
  'Regional allocations LIVE'!$H:$H, $R20,
  'Regional allocations LIVE'!$D:$D, "&gt;=" &amp; BA$4,
  'Regional allocations LIVE'!$D:$D, "&lt;=" &amp; Table14[[#Headers],[30/04/2027]]
)</f>
        <v>0</v>
      </c>
      <c r="BB20" s="197">
        <f>SUMIFS('Regional allocations LIVE'!$T:$T,
  'Regional allocations LIVE'!$H:$H, $R20,
  'Regional allocations LIVE'!$D:$D, "&gt;=" &amp; BB$4,
  'Regional allocations LIVE'!$D:$D, "&lt;=" &amp; Table14[[#Headers],[31/05/2027]]
)</f>
        <v>0</v>
      </c>
      <c r="BC20" s="197">
        <f>SUMIFS('Regional allocations LIVE'!$T:$T,
  'Regional allocations LIVE'!$H:$H, $R20,
  'Regional allocations LIVE'!$D:$D, "&gt;=" &amp; BC$4,
  'Regional allocations LIVE'!$D:$D, "&lt;=" &amp; Table14[[#Headers],[30/06/2027]]
)</f>
        <v>0</v>
      </c>
      <c r="BD20" s="197">
        <f>SUMIFS('Regional allocations LIVE'!$T:$T,
  'Regional allocations LIVE'!$H:$H, $R20,
  'Regional allocations LIVE'!$D:$D, "&gt;=" &amp; BD$4,
  'Regional allocations LIVE'!$D:$D, "&lt;=" &amp; Table14[[#Headers],[31/07/2027]]
)</f>
        <v>0</v>
      </c>
      <c r="BE20" s="197">
        <f>SUMIFS('Regional allocations LIVE'!$T:$T,
  'Regional allocations LIVE'!$H:$H, $R20,
  'Regional allocations LIVE'!$D:$D, "&gt;=" &amp; BE$4,
  'Regional allocations LIVE'!$D:$D, "&lt;=" &amp; Table14[[#Headers],[31/08/2027]]
)</f>
        <v>0</v>
      </c>
      <c r="BF20" s="197">
        <f>SUMIFS('Regional allocations LIVE'!$T:$T,
  'Regional allocations LIVE'!$H:$H, $R20,
  'Regional allocations LIVE'!$D:$D, "&gt;=" &amp; BF$4,
  'Regional allocations LIVE'!$D:$D, "&lt;=" &amp; Table14[[#Headers],[30/09/2027]]
)</f>
        <v>0</v>
      </c>
      <c r="BG20" s="197">
        <f>SUMIFS('Regional allocations LIVE'!$T:$T,
  'Regional allocations LIVE'!$H:$H, $R20,
  'Regional allocations LIVE'!$D:$D, "&gt;=" &amp; BG$4,
  'Regional allocations LIVE'!$D:$D, "&lt;=" &amp; Table14[[#Headers],[31/10/2027]]
)</f>
        <v>0</v>
      </c>
    </row>
    <row r="21" spans="1:59" ht="12.95" x14ac:dyDescent="0.3">
      <c r="B21" s="122" t="s">
        <v>71</v>
      </c>
      <c r="C21" s="123">
        <v>9</v>
      </c>
      <c r="D21" s="141"/>
      <c r="E21" s="137"/>
      <c r="F21" s="137"/>
      <c r="H21" s="185"/>
      <c r="I21" s="185"/>
      <c r="J21" s="112"/>
      <c r="M21" s="144"/>
      <c r="R21" s="152" t="s">
        <v>57</v>
      </c>
      <c r="S21" s="153">
        <v>0</v>
      </c>
      <c r="T21" s="153">
        <v>1</v>
      </c>
      <c r="U21" s="153">
        <v>1</v>
      </c>
      <c r="V21" s="153">
        <v>2</v>
      </c>
      <c r="W21" s="170">
        <v>1</v>
      </c>
      <c r="X21" s="164"/>
      <c r="Y21" s="155">
        <v>1</v>
      </c>
      <c r="Z21" s="171">
        <v>2</v>
      </c>
      <c r="AA21" s="164"/>
      <c r="AB21" s="190"/>
      <c r="AC21" s="164"/>
      <c r="AD21" s="164"/>
      <c r="AE21" s="164">
        <v>1</v>
      </c>
      <c r="AF21" s="197">
        <f>SUMIFS('Regional allocations LIVE'!$T:$T,
  'Regional allocations LIVE'!$H:$H, $R21,
  'Regional allocations LIVE'!$D:$D, "&gt;=" &amp; AF$4,
  'Regional allocations LIVE'!$D:$D, "&lt;=" &amp; Table14[[#Headers],[31/07/2025]]
)</f>
        <v>0</v>
      </c>
      <c r="AG21" s="197">
        <f>SUMIFS('Regional allocations LIVE'!$T:$T,
  'Regional allocations LIVE'!$H:$H, $R21,
  'Regional allocations LIVE'!$D:$D, "&gt;=" &amp; AG$4,
  'Regional allocations LIVE'!$D:$D, "&lt;=" &amp; Table14[[#Headers],[31/08/2025]]
)</f>
        <v>2</v>
      </c>
      <c r="AH21" s="197">
        <f>SUMIFS('Regional allocations LIVE'!$T:$T,
  'Regional allocations LIVE'!$H:$H, $R21,
  'Regional allocations LIVE'!$D:$D, "&gt;=" &amp; AH$4,
  'Regional allocations LIVE'!$D:$D, "&lt;=" &amp; Table14[[#Headers],[30/09/2025]]
)</f>
        <v>1</v>
      </c>
      <c r="AI21" s="197">
        <f>SUMIFS('Regional allocations LIVE'!$T:$T,
  'Regional allocations LIVE'!$H:$H, $R21,
  'Regional allocations LIVE'!$D:$D, "&gt;=" &amp; AI$4,
  'Regional allocations LIVE'!$D:$D, "&lt;=" &amp; Table14[[#Headers],[31/10/2025]]
)</f>
        <v>1</v>
      </c>
      <c r="AJ21" s="197">
        <f>SUMIFS('Regional allocations LIVE'!$T:$T,
  'Regional allocations LIVE'!$H:$H, $R21,
  'Regional allocations LIVE'!$D:$D, "&gt;=" &amp; AJ$4,
  'Regional allocations LIVE'!$D:$D, "&lt;=" &amp; Table14[[#Headers],[30/11/2025]]
)</f>
        <v>1</v>
      </c>
      <c r="AK21" s="197">
        <f>SUMIFS('Regional allocations LIVE'!$T:$T,
  'Regional allocations LIVE'!$H:$H, $R21,
  'Regional allocations LIVE'!$D:$D, "&gt;=" &amp; AK$4,
  'Regional allocations LIVE'!$D:$D, "&lt;=" &amp; Table14[[#Headers],[31/12/2025]]
)</f>
        <v>0</v>
      </c>
      <c r="AL21" s="197">
        <f>SUMIFS('Regional allocations LIVE'!$T:$T,
  'Regional allocations LIVE'!$H:$H, $R21,
  'Regional allocations LIVE'!$D:$D, "&gt;=" &amp; AL$4,
  'Regional allocations LIVE'!$D:$D, "&lt;=" &amp; Table14[[#Headers],[30/01/2026]]
)</f>
        <v>1</v>
      </c>
      <c r="AM21" s="197">
        <f>SUMIFS('Regional allocations LIVE'!$T:$T,
  'Regional allocations LIVE'!$H:$H, $R21,
  'Regional allocations LIVE'!$D:$D, "&gt;=" &amp; AM$4,
  'Regional allocations LIVE'!$D:$D, "&lt;=" &amp; Table14[[#Headers],[28/02/2026]]
)</f>
        <v>0</v>
      </c>
      <c r="AN21" s="197">
        <f>SUMIFS('Regional allocations LIVE'!$T:$T,
  'Regional allocations LIVE'!$H:$H, $R21,
  'Regional allocations LIVE'!$D:$D, "&gt;=" &amp; AN$4,
  'Regional allocations LIVE'!$D:$D, "&lt;=" &amp; Table14[[#Headers],[31/03/2026]]
)</f>
        <v>0</v>
      </c>
      <c r="AO21" s="197">
        <f>SUMIFS('Regional allocations LIVE'!$T:$T,
  'Regional allocations LIVE'!$H:$H, $R21,
  'Regional allocations LIVE'!$D:$D, "&gt;=" &amp; AO$4,
  'Regional allocations LIVE'!$D:$D, "&lt;=" &amp; Table14[[#Headers],[30/04/2026]]
)</f>
        <v>0</v>
      </c>
      <c r="AP21" s="197">
        <f>SUMIFS('Regional allocations LIVE'!$T:$T,
  'Regional allocations LIVE'!$H:$H, $R21,
  'Regional allocations LIVE'!$D:$D, "&gt;=" &amp; AP$4,
  'Regional allocations LIVE'!$D:$D, "&lt;=" &amp; Table14[[#Headers],[31/05/2026]]
)</f>
        <v>0</v>
      </c>
      <c r="AQ21" s="197">
        <f>SUMIFS('Regional allocations LIVE'!$T:$T,
  'Regional allocations LIVE'!$H:$H, $R21,
  'Regional allocations LIVE'!$D:$D, "&gt;=" &amp; AQ$4,
  'Regional allocations LIVE'!$D:$D, "&lt;=" &amp; Table14[[#Headers],[30/06/2026]]
)</f>
        <v>0</v>
      </c>
      <c r="AR21" s="197">
        <f>SUMIFS('Regional allocations LIVE'!$T:$T,
  'Regional allocations LIVE'!$H:$H, $R21,
  'Regional allocations LIVE'!$D:$D, "&gt;=" &amp; AR$4,
  'Regional allocations LIVE'!$D:$D, "&lt;=" &amp; Table14[[#Headers],[31/07/2026]]
)</f>
        <v>0</v>
      </c>
      <c r="AS21" s="197">
        <f>SUMIFS('Regional allocations LIVE'!$T:$T,
  'Regional allocations LIVE'!$H:$H, $R21,
  'Regional allocations LIVE'!$D:$D, "&gt;=" &amp; AS$4,
  'Regional allocations LIVE'!$D:$D, "&lt;=" &amp; Table14[[#Headers],[31/08/2026]]
)</f>
        <v>0</v>
      </c>
      <c r="AT21" s="197">
        <f>SUMIFS('Regional allocations LIVE'!$T:$T,
  'Regional allocations LIVE'!$H:$H, $R21,
  'Regional allocations LIVE'!$D:$D, "&gt;=" &amp; AT$4,
  'Regional allocations LIVE'!$D:$D, "&lt;=" &amp; Table14[[#Headers],[30/09/2026]]
)</f>
        <v>0</v>
      </c>
      <c r="AU21" s="197">
        <f>SUMIFS('Regional allocations LIVE'!$T:$T,
  'Regional allocations LIVE'!$H:$H, $R21,
  'Regional allocations LIVE'!$D:$D, "&gt;=" &amp; AU$4,
  'Regional allocations LIVE'!$D:$D, "&lt;=" &amp; Table14[[#Headers],[31/10/2026]]
)</f>
        <v>0</v>
      </c>
      <c r="AV21" s="197">
        <f>SUMIFS('Regional allocations LIVE'!$T:$T,
  'Regional allocations LIVE'!$H:$H, $R21,
  'Regional allocations LIVE'!$D:$D, "&gt;=" &amp; AV$4,
  'Regional allocations LIVE'!$D:$D, "&lt;=" &amp; Table14[[#Headers],[30/11/2026]]
)</f>
        <v>0</v>
      </c>
      <c r="AW21" s="197">
        <f>SUMIFS('Regional allocations LIVE'!$T:$T,
  'Regional allocations LIVE'!$H:$H, $R21,
  'Regional allocations LIVE'!$D:$D, "&gt;=" &amp; AW$4,
  'Regional allocations LIVE'!$D:$D, "&lt;=" &amp; Table14[[#Headers],[31/12/2026]]
)</f>
        <v>0</v>
      </c>
      <c r="AX21" s="197">
        <f>SUMIFS('Regional allocations LIVE'!$T:$T,
  'Regional allocations LIVE'!$H:$H, $R21,
  'Regional allocations LIVE'!$D:$D, "&gt;=" &amp; AX$4,
  'Regional allocations LIVE'!$D:$D, "&lt;=" &amp; Table14[[#Headers],[30/01/2027]]
)</f>
        <v>0</v>
      </c>
      <c r="AY21" s="197">
        <f>SUMIFS('Regional allocations LIVE'!$T:$T,
  'Regional allocations LIVE'!$H:$H, $R21,
  'Regional allocations LIVE'!$D:$D, "&gt;=" &amp; AY$4,
  'Regional allocations LIVE'!$D:$D, "&lt;=" &amp; Table14[[#Headers],[28/02/2027]]
)</f>
        <v>0</v>
      </c>
      <c r="AZ21" s="197">
        <f>SUMIFS('Regional allocations LIVE'!$T:$T,
  'Regional allocations LIVE'!$H:$H, $R21,
  'Regional allocations LIVE'!$D:$D, "&gt;=" &amp; AZ$4,
  'Regional allocations LIVE'!$D:$D, "&lt;=" &amp; Table14[[#Headers],[31/03/2027]]
)</f>
        <v>0</v>
      </c>
      <c r="BA21" s="197">
        <f>SUMIFS('Regional allocations LIVE'!$T:$T,
  'Regional allocations LIVE'!$H:$H, $R21,
  'Regional allocations LIVE'!$D:$D, "&gt;=" &amp; BA$4,
  'Regional allocations LIVE'!$D:$D, "&lt;=" &amp; Table14[[#Headers],[30/04/2027]]
)</f>
        <v>0</v>
      </c>
      <c r="BB21" s="197">
        <f>SUMIFS('Regional allocations LIVE'!$T:$T,
  'Regional allocations LIVE'!$H:$H, $R21,
  'Regional allocations LIVE'!$D:$D, "&gt;=" &amp; BB$4,
  'Regional allocations LIVE'!$D:$D, "&lt;=" &amp; Table14[[#Headers],[31/05/2027]]
)</f>
        <v>0</v>
      </c>
      <c r="BC21" s="197">
        <f>SUMIFS('Regional allocations LIVE'!$T:$T,
  'Regional allocations LIVE'!$H:$H, $R21,
  'Regional allocations LIVE'!$D:$D, "&gt;=" &amp; BC$4,
  'Regional allocations LIVE'!$D:$D, "&lt;=" &amp; Table14[[#Headers],[30/06/2027]]
)</f>
        <v>0</v>
      </c>
      <c r="BD21" s="197">
        <f>SUMIFS('Regional allocations LIVE'!$T:$T,
  'Regional allocations LIVE'!$H:$H, $R21,
  'Regional allocations LIVE'!$D:$D, "&gt;=" &amp; BD$4,
  'Regional allocations LIVE'!$D:$D, "&lt;=" &amp; Table14[[#Headers],[31/07/2027]]
)</f>
        <v>0</v>
      </c>
      <c r="BE21" s="197">
        <f>SUMIFS('Regional allocations LIVE'!$T:$T,
  'Regional allocations LIVE'!$H:$H, $R21,
  'Regional allocations LIVE'!$D:$D, "&gt;=" &amp; BE$4,
  'Regional allocations LIVE'!$D:$D, "&lt;=" &amp; Table14[[#Headers],[31/08/2027]]
)</f>
        <v>0</v>
      </c>
      <c r="BF21" s="197">
        <f>SUMIFS('Regional allocations LIVE'!$T:$T,
  'Regional allocations LIVE'!$H:$H, $R21,
  'Regional allocations LIVE'!$D:$D, "&gt;=" &amp; BF$4,
  'Regional allocations LIVE'!$D:$D, "&lt;=" &amp; Table14[[#Headers],[30/09/2027]]
)</f>
        <v>0</v>
      </c>
      <c r="BG21" s="197">
        <f>SUMIFS('Regional allocations LIVE'!$T:$T,
  'Regional allocations LIVE'!$H:$H, $R21,
  'Regional allocations LIVE'!$D:$D, "&gt;=" &amp; BG$4,
  'Regional allocations LIVE'!$D:$D, "&lt;=" &amp; Table14[[#Headers],[31/10/2027]]
)</f>
        <v>0</v>
      </c>
    </row>
    <row r="22" spans="1:59" ht="12.95" x14ac:dyDescent="0.3">
      <c r="B22" s="122" t="s">
        <v>72</v>
      </c>
      <c r="C22" s="123" t="e">
        <f>GETPIVOTDATA("Employee ID",$B$31,"Office","Cyprus")</f>
        <v>#REF!</v>
      </c>
      <c r="D22" s="141"/>
      <c r="E22" s="137"/>
      <c r="F22" s="137"/>
      <c r="H22" s="185"/>
      <c r="I22" s="185"/>
      <c r="J22" s="140" t="s">
        <v>58</v>
      </c>
      <c r="M22" s="144"/>
      <c r="R22" s="152" t="s">
        <v>59</v>
      </c>
      <c r="S22" s="153">
        <v>0</v>
      </c>
      <c r="T22" s="153">
        <v>4</v>
      </c>
      <c r="U22" s="153">
        <v>0</v>
      </c>
      <c r="V22" s="153">
        <v>1</v>
      </c>
      <c r="W22" s="170">
        <v>2</v>
      </c>
      <c r="X22" s="164"/>
      <c r="Y22" s="155"/>
      <c r="Z22" s="171"/>
      <c r="AA22" s="164">
        <v>1</v>
      </c>
      <c r="AB22" s="190">
        <v>1</v>
      </c>
      <c r="AC22" s="164"/>
      <c r="AD22" s="164"/>
      <c r="AE22" s="164"/>
      <c r="AF22" s="197">
        <f>SUMIFS('Regional allocations LIVE'!$T:$T,
  'Regional allocations LIVE'!$H:$H, $R22,
  'Regional allocations LIVE'!$D:$D, "&gt;=" &amp; AF$4,
  'Regional allocations LIVE'!$D:$D, "&lt;=" &amp; Table14[[#Headers],[31/07/2025]]
)</f>
        <v>0</v>
      </c>
      <c r="AG22" s="197">
        <f>SUMIFS('Regional allocations LIVE'!$T:$T,
  'Regional allocations LIVE'!$H:$H, $R22,
  'Regional allocations LIVE'!$D:$D, "&gt;=" &amp; AG$4,
  'Regional allocations LIVE'!$D:$D, "&lt;=" &amp; Table14[[#Headers],[31/08/2025]]
)</f>
        <v>0</v>
      </c>
      <c r="AH22" s="197">
        <f>SUMIFS('Regional allocations LIVE'!$T:$T,
  'Regional allocations LIVE'!$H:$H, $R22,
  'Regional allocations LIVE'!$D:$D, "&gt;=" &amp; AH$4,
  'Regional allocations LIVE'!$D:$D, "&lt;=" &amp; Table14[[#Headers],[30/09/2025]]
)</f>
        <v>0</v>
      </c>
      <c r="AI22" s="197">
        <f>SUMIFS('Regional allocations LIVE'!$T:$T,
  'Regional allocations LIVE'!$H:$H, $R22,
  'Regional allocations LIVE'!$D:$D, "&gt;=" &amp; AI$4,
  'Regional allocations LIVE'!$D:$D, "&lt;=" &amp; Table14[[#Headers],[31/10/2025]]
)</f>
        <v>0</v>
      </c>
      <c r="AJ22" s="197">
        <f>SUMIFS('Regional allocations LIVE'!$T:$T,
  'Regional allocations LIVE'!$H:$H, $R22,
  'Regional allocations LIVE'!$D:$D, "&gt;=" &amp; AJ$4,
  'Regional allocations LIVE'!$D:$D, "&lt;=" &amp; Table14[[#Headers],[30/11/2025]]
)</f>
        <v>1</v>
      </c>
      <c r="AK22" s="197">
        <f>SUMIFS('Regional allocations LIVE'!$T:$T,
  'Regional allocations LIVE'!$H:$H, $R22,
  'Regional allocations LIVE'!$D:$D, "&gt;=" &amp; AK$4,
  'Regional allocations LIVE'!$D:$D, "&lt;=" &amp; Table14[[#Headers],[31/12/2025]]
)</f>
        <v>0</v>
      </c>
      <c r="AL22" s="197">
        <f>SUMIFS('Regional allocations LIVE'!$T:$T,
  'Regional allocations LIVE'!$H:$H, $R22,
  'Regional allocations LIVE'!$D:$D, "&gt;=" &amp; AL$4,
  'Regional allocations LIVE'!$D:$D, "&lt;=" &amp; Table14[[#Headers],[30/01/2026]]
)</f>
        <v>0</v>
      </c>
      <c r="AM22" s="197">
        <f>SUMIFS('Regional allocations LIVE'!$T:$T,
  'Regional allocations LIVE'!$H:$H, $R22,
  'Regional allocations LIVE'!$D:$D, "&gt;=" &amp; AM$4,
  'Regional allocations LIVE'!$D:$D, "&lt;=" &amp; Table14[[#Headers],[28/02/2026]]
)</f>
        <v>0</v>
      </c>
      <c r="AN22" s="197">
        <f>SUMIFS('Regional allocations LIVE'!$T:$T,
  'Regional allocations LIVE'!$H:$H, $R22,
  'Regional allocations LIVE'!$D:$D, "&gt;=" &amp; AN$4,
  'Regional allocations LIVE'!$D:$D, "&lt;=" &amp; Table14[[#Headers],[31/03/2026]]
)</f>
        <v>0</v>
      </c>
      <c r="AO22" s="197">
        <f>SUMIFS('Regional allocations LIVE'!$T:$T,
  'Regional allocations LIVE'!$H:$H, $R22,
  'Regional allocations LIVE'!$D:$D, "&gt;=" &amp; AO$4,
  'Regional allocations LIVE'!$D:$D, "&lt;=" &amp; Table14[[#Headers],[30/04/2026]]
)</f>
        <v>0</v>
      </c>
      <c r="AP22" s="197">
        <f>SUMIFS('Regional allocations LIVE'!$T:$T,
  'Regional allocations LIVE'!$H:$H, $R22,
  'Regional allocations LIVE'!$D:$D, "&gt;=" &amp; AP$4,
  'Regional allocations LIVE'!$D:$D, "&lt;=" &amp; Table14[[#Headers],[31/05/2026]]
)</f>
        <v>0</v>
      </c>
      <c r="AQ22" s="197">
        <f>SUMIFS('Regional allocations LIVE'!$T:$T,
  'Regional allocations LIVE'!$H:$H, $R22,
  'Regional allocations LIVE'!$D:$D, "&gt;=" &amp; AQ$4,
  'Regional allocations LIVE'!$D:$D, "&lt;=" &amp; Table14[[#Headers],[30/06/2026]]
)</f>
        <v>0</v>
      </c>
      <c r="AR22" s="197">
        <f>SUMIFS('Regional allocations LIVE'!$T:$T,
  'Regional allocations LIVE'!$H:$H, $R22,
  'Regional allocations LIVE'!$D:$D, "&gt;=" &amp; AR$4,
  'Regional allocations LIVE'!$D:$D, "&lt;=" &amp; Table14[[#Headers],[31/07/2026]]
)</f>
        <v>0</v>
      </c>
      <c r="AS22" s="197">
        <f>SUMIFS('Regional allocations LIVE'!$T:$T,
  'Regional allocations LIVE'!$H:$H, $R22,
  'Regional allocations LIVE'!$D:$D, "&gt;=" &amp; AS$4,
  'Regional allocations LIVE'!$D:$D, "&lt;=" &amp; Table14[[#Headers],[31/08/2026]]
)</f>
        <v>0</v>
      </c>
      <c r="AT22" s="197">
        <f>SUMIFS('Regional allocations LIVE'!$T:$T,
  'Regional allocations LIVE'!$H:$H, $R22,
  'Regional allocations LIVE'!$D:$D, "&gt;=" &amp; AT$4,
  'Regional allocations LIVE'!$D:$D, "&lt;=" &amp; Table14[[#Headers],[30/09/2026]]
)</f>
        <v>0</v>
      </c>
      <c r="AU22" s="197">
        <f>SUMIFS('Regional allocations LIVE'!$T:$T,
  'Regional allocations LIVE'!$H:$H, $R22,
  'Regional allocations LIVE'!$D:$D, "&gt;=" &amp; AU$4,
  'Regional allocations LIVE'!$D:$D, "&lt;=" &amp; Table14[[#Headers],[31/10/2026]]
)</f>
        <v>0</v>
      </c>
      <c r="AV22" s="197">
        <f>SUMIFS('Regional allocations LIVE'!$T:$T,
  'Regional allocations LIVE'!$H:$H, $R22,
  'Regional allocations LIVE'!$D:$D, "&gt;=" &amp; AV$4,
  'Regional allocations LIVE'!$D:$D, "&lt;=" &amp; Table14[[#Headers],[30/11/2026]]
)</f>
        <v>0</v>
      </c>
      <c r="AW22" s="197">
        <f>SUMIFS('Regional allocations LIVE'!$T:$T,
  'Regional allocations LIVE'!$H:$H, $R22,
  'Regional allocations LIVE'!$D:$D, "&gt;=" &amp; AW$4,
  'Regional allocations LIVE'!$D:$D, "&lt;=" &amp; Table14[[#Headers],[31/12/2026]]
)</f>
        <v>0</v>
      </c>
      <c r="AX22" s="197">
        <f>SUMIFS('Regional allocations LIVE'!$T:$T,
  'Regional allocations LIVE'!$H:$H, $R22,
  'Regional allocations LIVE'!$D:$D, "&gt;=" &amp; AX$4,
  'Regional allocations LIVE'!$D:$D, "&lt;=" &amp; Table14[[#Headers],[30/01/2027]]
)</f>
        <v>0</v>
      </c>
      <c r="AY22" s="197">
        <f>SUMIFS('Regional allocations LIVE'!$T:$T,
  'Regional allocations LIVE'!$H:$H, $R22,
  'Regional allocations LIVE'!$D:$D, "&gt;=" &amp; AY$4,
  'Regional allocations LIVE'!$D:$D, "&lt;=" &amp; Table14[[#Headers],[28/02/2027]]
)</f>
        <v>0</v>
      </c>
      <c r="AZ22" s="197">
        <f>SUMIFS('Regional allocations LIVE'!$T:$T,
  'Regional allocations LIVE'!$H:$H, $R22,
  'Regional allocations LIVE'!$D:$D, "&gt;=" &amp; AZ$4,
  'Regional allocations LIVE'!$D:$D, "&lt;=" &amp; Table14[[#Headers],[31/03/2027]]
)</f>
        <v>0</v>
      </c>
      <c r="BA22" s="197">
        <f>SUMIFS('Regional allocations LIVE'!$T:$T,
  'Regional allocations LIVE'!$H:$H, $R22,
  'Regional allocations LIVE'!$D:$D, "&gt;=" &amp; BA$4,
  'Regional allocations LIVE'!$D:$D, "&lt;=" &amp; Table14[[#Headers],[30/04/2027]]
)</f>
        <v>0</v>
      </c>
      <c r="BB22" s="197">
        <f>SUMIFS('Regional allocations LIVE'!$T:$T,
  'Regional allocations LIVE'!$H:$H, $R22,
  'Regional allocations LIVE'!$D:$D, "&gt;=" &amp; BB$4,
  'Regional allocations LIVE'!$D:$D, "&lt;=" &amp; Table14[[#Headers],[31/05/2027]]
)</f>
        <v>0</v>
      </c>
      <c r="BC22" s="197">
        <f>SUMIFS('Regional allocations LIVE'!$T:$T,
  'Regional allocations LIVE'!$H:$H, $R22,
  'Regional allocations LIVE'!$D:$D, "&gt;=" &amp; BC$4,
  'Regional allocations LIVE'!$D:$D, "&lt;=" &amp; Table14[[#Headers],[30/06/2027]]
)</f>
        <v>0</v>
      </c>
      <c r="BD22" s="197">
        <f>SUMIFS('Regional allocations LIVE'!$T:$T,
  'Regional allocations LIVE'!$H:$H, $R22,
  'Regional allocations LIVE'!$D:$D, "&gt;=" &amp; BD$4,
  'Regional allocations LIVE'!$D:$D, "&lt;=" &amp; Table14[[#Headers],[31/07/2027]]
)</f>
        <v>0</v>
      </c>
      <c r="BE22" s="197">
        <f>SUMIFS('Regional allocations LIVE'!$T:$T,
  'Regional allocations LIVE'!$H:$H, $R22,
  'Regional allocations LIVE'!$D:$D, "&gt;=" &amp; BE$4,
  'Regional allocations LIVE'!$D:$D, "&lt;=" &amp; Table14[[#Headers],[31/08/2027]]
)</f>
        <v>0</v>
      </c>
      <c r="BF22" s="197">
        <f>SUMIFS('Regional allocations LIVE'!$T:$T,
  'Regional allocations LIVE'!$H:$H, $R22,
  'Regional allocations LIVE'!$D:$D, "&gt;=" &amp; BF$4,
  'Regional allocations LIVE'!$D:$D, "&lt;=" &amp; Table14[[#Headers],[30/09/2027]]
)</f>
        <v>0</v>
      </c>
      <c r="BG22" s="197">
        <f>SUMIFS('Regional allocations LIVE'!$T:$T,
  'Regional allocations LIVE'!$H:$H, $R22,
  'Regional allocations LIVE'!$D:$D, "&gt;=" &amp; BG$4,
  'Regional allocations LIVE'!$D:$D, "&lt;=" &amp; Table14[[#Headers],[31/10/2027]]
)</f>
        <v>0</v>
      </c>
    </row>
    <row r="23" spans="1:59" ht="12.95" x14ac:dyDescent="0.3">
      <c r="B23" s="122" t="s">
        <v>73</v>
      </c>
      <c r="C23" s="123" t="e">
        <f>GETPIVOTDATA("Employee ID",$B$31,"Office","Costa Rica")</f>
        <v>#REF!</v>
      </c>
      <c r="D23" s="141"/>
      <c r="H23" s="185"/>
      <c r="I23" s="185"/>
      <c r="J23" s="128">
        <f>SUM(I8:I16)</f>
        <v>163</v>
      </c>
      <c r="K23" s="227" t="s">
        <v>74</v>
      </c>
      <c r="M23" s="144"/>
      <c r="R23" s="152" t="s">
        <v>60</v>
      </c>
      <c r="S23" s="153">
        <v>0</v>
      </c>
      <c r="T23" s="153">
        <v>0</v>
      </c>
      <c r="U23" s="153">
        <v>0</v>
      </c>
      <c r="V23" s="153">
        <v>0</v>
      </c>
      <c r="W23" s="170">
        <v>0</v>
      </c>
      <c r="X23" s="164"/>
      <c r="Y23" s="155"/>
      <c r="Z23" s="171"/>
      <c r="AA23" s="164"/>
      <c r="AB23" s="190"/>
      <c r="AC23" s="164"/>
      <c r="AD23" s="164"/>
      <c r="AE23" s="164"/>
      <c r="AF23" s="197">
        <f>SUMIFS('Regional allocations LIVE'!$T:$T,
  'Regional allocations LIVE'!$H:$H, $R23,
  'Regional allocations LIVE'!$D:$D, "&gt;=" &amp; AF$4,
  'Regional allocations LIVE'!$D:$D, "&lt;=" &amp; Table14[[#Headers],[31/07/2025]]
)</f>
        <v>0</v>
      </c>
      <c r="AG23" s="197">
        <f>SUMIFS('Regional allocations LIVE'!$T:$T,
  'Regional allocations LIVE'!$H:$H, $R23,
  'Regional allocations LIVE'!$D:$D, "&gt;=" &amp; AG$4,
  'Regional allocations LIVE'!$D:$D, "&lt;=" &amp; Table14[[#Headers],[31/08/2025]]
)</f>
        <v>0</v>
      </c>
      <c r="AH23" s="197">
        <f>SUMIFS('Regional allocations LIVE'!$T:$T,
  'Regional allocations LIVE'!$H:$H, $R23,
  'Regional allocations LIVE'!$D:$D, "&gt;=" &amp; AH$4,
  'Regional allocations LIVE'!$D:$D, "&lt;=" &amp; Table14[[#Headers],[30/09/2025]]
)</f>
        <v>0</v>
      </c>
      <c r="AI23" s="197">
        <f>SUMIFS('Regional allocations LIVE'!$T:$T,
  'Regional allocations LIVE'!$H:$H, $R23,
  'Regional allocations LIVE'!$D:$D, "&gt;=" &amp; AI$4,
  'Regional allocations LIVE'!$D:$D, "&lt;=" &amp; Table14[[#Headers],[31/10/2025]]
)</f>
        <v>0</v>
      </c>
      <c r="AJ23" s="197">
        <f>SUMIFS('Regional allocations LIVE'!$T:$T,
  'Regional allocations LIVE'!$H:$H, $R23,
  'Regional allocations LIVE'!$D:$D, "&gt;=" &amp; AJ$4,
  'Regional allocations LIVE'!$D:$D, "&lt;=" &amp; Table14[[#Headers],[30/11/2025]]
)</f>
        <v>0</v>
      </c>
      <c r="AK23" s="197">
        <f>SUMIFS('Regional allocations LIVE'!$T:$T,
  'Regional allocations LIVE'!$H:$H, $R23,
  'Regional allocations LIVE'!$D:$D, "&gt;=" &amp; AK$4,
  'Regional allocations LIVE'!$D:$D, "&lt;=" &amp; Table14[[#Headers],[31/12/2025]]
)</f>
        <v>0</v>
      </c>
      <c r="AL23" s="197">
        <f>SUMIFS('Regional allocations LIVE'!$T:$T,
  'Regional allocations LIVE'!$H:$H, $R23,
  'Regional allocations LIVE'!$D:$D, "&gt;=" &amp; AL$4,
  'Regional allocations LIVE'!$D:$D, "&lt;=" &amp; Table14[[#Headers],[30/01/2026]]
)</f>
        <v>0</v>
      </c>
      <c r="AM23" s="197">
        <f>SUMIFS('Regional allocations LIVE'!$T:$T,
  'Regional allocations LIVE'!$H:$H, $R23,
  'Regional allocations LIVE'!$D:$D, "&gt;=" &amp; AM$4,
  'Regional allocations LIVE'!$D:$D, "&lt;=" &amp; Table14[[#Headers],[28/02/2026]]
)</f>
        <v>0</v>
      </c>
      <c r="AN23" s="197">
        <f>SUMIFS('Regional allocations LIVE'!$T:$T,
  'Regional allocations LIVE'!$H:$H, $R23,
  'Regional allocations LIVE'!$D:$D, "&gt;=" &amp; AN$4,
  'Regional allocations LIVE'!$D:$D, "&lt;=" &amp; Table14[[#Headers],[31/03/2026]]
)</f>
        <v>0</v>
      </c>
      <c r="AO23" s="197">
        <f>SUMIFS('Regional allocations LIVE'!$T:$T,
  'Regional allocations LIVE'!$H:$H, $R23,
  'Regional allocations LIVE'!$D:$D, "&gt;=" &amp; AO$4,
  'Regional allocations LIVE'!$D:$D, "&lt;=" &amp; Table14[[#Headers],[30/04/2026]]
)</f>
        <v>0</v>
      </c>
      <c r="AP23" s="197">
        <f>SUMIFS('Regional allocations LIVE'!$T:$T,
  'Regional allocations LIVE'!$H:$H, $R23,
  'Regional allocations LIVE'!$D:$D, "&gt;=" &amp; AP$4,
  'Regional allocations LIVE'!$D:$D, "&lt;=" &amp; Table14[[#Headers],[31/05/2026]]
)</f>
        <v>0</v>
      </c>
      <c r="AQ23" s="197">
        <f>SUMIFS('Regional allocations LIVE'!$T:$T,
  'Regional allocations LIVE'!$H:$H, $R23,
  'Regional allocations LIVE'!$D:$D, "&gt;=" &amp; AQ$4,
  'Regional allocations LIVE'!$D:$D, "&lt;=" &amp; Table14[[#Headers],[30/06/2026]]
)</f>
        <v>0</v>
      </c>
      <c r="AR23" s="197">
        <f>SUMIFS('Regional allocations LIVE'!$T:$T,
  'Regional allocations LIVE'!$H:$H, $R23,
  'Regional allocations LIVE'!$D:$D, "&gt;=" &amp; AR$4,
  'Regional allocations LIVE'!$D:$D, "&lt;=" &amp; Table14[[#Headers],[31/07/2026]]
)</f>
        <v>0</v>
      </c>
      <c r="AS23" s="197">
        <f>SUMIFS('Regional allocations LIVE'!$T:$T,
  'Regional allocations LIVE'!$H:$H, $R23,
  'Regional allocations LIVE'!$D:$D, "&gt;=" &amp; AS$4,
  'Regional allocations LIVE'!$D:$D, "&lt;=" &amp; Table14[[#Headers],[31/08/2026]]
)</f>
        <v>0</v>
      </c>
      <c r="AT23" s="197">
        <f>SUMIFS('Regional allocations LIVE'!$T:$T,
  'Regional allocations LIVE'!$H:$H, $R23,
  'Regional allocations LIVE'!$D:$D, "&gt;=" &amp; AT$4,
  'Regional allocations LIVE'!$D:$D, "&lt;=" &amp; Table14[[#Headers],[30/09/2026]]
)</f>
        <v>0</v>
      </c>
      <c r="AU23" s="197">
        <f>SUMIFS('Regional allocations LIVE'!$T:$T,
  'Regional allocations LIVE'!$H:$H, $R23,
  'Regional allocations LIVE'!$D:$D, "&gt;=" &amp; AU$4,
  'Regional allocations LIVE'!$D:$D, "&lt;=" &amp; Table14[[#Headers],[31/10/2026]]
)</f>
        <v>0</v>
      </c>
      <c r="AV23" s="197">
        <f>SUMIFS('Regional allocations LIVE'!$T:$T,
  'Regional allocations LIVE'!$H:$H, $R23,
  'Regional allocations LIVE'!$D:$D, "&gt;=" &amp; AV$4,
  'Regional allocations LIVE'!$D:$D, "&lt;=" &amp; Table14[[#Headers],[30/11/2026]]
)</f>
        <v>0</v>
      </c>
      <c r="AW23" s="197">
        <f>SUMIFS('Regional allocations LIVE'!$T:$T,
  'Regional allocations LIVE'!$H:$H, $R23,
  'Regional allocations LIVE'!$D:$D, "&gt;=" &amp; AW$4,
  'Regional allocations LIVE'!$D:$D, "&lt;=" &amp; Table14[[#Headers],[31/12/2026]]
)</f>
        <v>0</v>
      </c>
      <c r="AX23" s="197">
        <f>SUMIFS('Regional allocations LIVE'!$T:$T,
  'Regional allocations LIVE'!$H:$H, $R23,
  'Regional allocations LIVE'!$D:$D, "&gt;=" &amp; AX$4,
  'Regional allocations LIVE'!$D:$D, "&lt;=" &amp; Table14[[#Headers],[30/01/2027]]
)</f>
        <v>0</v>
      </c>
      <c r="AY23" s="197">
        <f>SUMIFS('Regional allocations LIVE'!$T:$T,
  'Regional allocations LIVE'!$H:$H, $R23,
  'Regional allocations LIVE'!$D:$D, "&gt;=" &amp; AY$4,
  'Regional allocations LIVE'!$D:$D, "&lt;=" &amp; Table14[[#Headers],[28/02/2027]]
)</f>
        <v>0</v>
      </c>
      <c r="AZ23" s="197">
        <f>SUMIFS('Regional allocations LIVE'!$T:$T,
  'Regional allocations LIVE'!$H:$H, $R23,
  'Regional allocations LIVE'!$D:$D, "&gt;=" &amp; AZ$4,
  'Regional allocations LIVE'!$D:$D, "&lt;=" &amp; Table14[[#Headers],[31/03/2027]]
)</f>
        <v>0</v>
      </c>
      <c r="BA23" s="197">
        <f>SUMIFS('Regional allocations LIVE'!$T:$T,
  'Regional allocations LIVE'!$H:$H, $R23,
  'Regional allocations LIVE'!$D:$D, "&gt;=" &amp; BA$4,
  'Regional allocations LIVE'!$D:$D, "&lt;=" &amp; Table14[[#Headers],[30/04/2027]]
)</f>
        <v>0</v>
      </c>
      <c r="BB23" s="197">
        <f>SUMIFS('Regional allocations LIVE'!$T:$T,
  'Regional allocations LIVE'!$H:$H, $R23,
  'Regional allocations LIVE'!$D:$D, "&gt;=" &amp; BB$4,
  'Regional allocations LIVE'!$D:$D, "&lt;=" &amp; Table14[[#Headers],[31/05/2027]]
)</f>
        <v>0</v>
      </c>
      <c r="BC23" s="197">
        <f>SUMIFS('Regional allocations LIVE'!$T:$T,
  'Regional allocations LIVE'!$H:$H, $R23,
  'Regional allocations LIVE'!$D:$D, "&gt;=" &amp; BC$4,
  'Regional allocations LIVE'!$D:$D, "&lt;=" &amp; Table14[[#Headers],[30/06/2027]]
)</f>
        <v>0</v>
      </c>
      <c r="BD23" s="197">
        <f>SUMIFS('Regional allocations LIVE'!$T:$T,
  'Regional allocations LIVE'!$H:$H, $R23,
  'Regional allocations LIVE'!$D:$D, "&gt;=" &amp; BD$4,
  'Regional allocations LIVE'!$D:$D, "&lt;=" &amp; Table14[[#Headers],[31/07/2027]]
)</f>
        <v>0</v>
      </c>
      <c r="BE23" s="197">
        <f>SUMIFS('Regional allocations LIVE'!$T:$T,
  'Regional allocations LIVE'!$H:$H, $R23,
  'Regional allocations LIVE'!$D:$D, "&gt;=" &amp; BE$4,
  'Regional allocations LIVE'!$D:$D, "&lt;=" &amp; Table14[[#Headers],[31/08/2027]]
)</f>
        <v>0</v>
      </c>
      <c r="BF23" s="197">
        <f>SUMIFS('Regional allocations LIVE'!$T:$T,
  'Regional allocations LIVE'!$H:$H, $R23,
  'Regional allocations LIVE'!$D:$D, "&gt;=" &amp; BF$4,
  'Regional allocations LIVE'!$D:$D, "&lt;=" &amp; Table14[[#Headers],[30/09/2027]]
)</f>
        <v>0</v>
      </c>
      <c r="BG23" s="197">
        <f>SUMIFS('Regional allocations LIVE'!$T:$T,
  'Regional allocations LIVE'!$H:$H, $R23,
  'Regional allocations LIVE'!$D:$D, "&gt;=" &amp; BG$4,
  'Regional allocations LIVE'!$D:$D, "&lt;=" &amp; Table14[[#Headers],[31/10/2027]]
)</f>
        <v>0</v>
      </c>
    </row>
    <row r="24" spans="1:59" ht="12.95" x14ac:dyDescent="0.3">
      <c r="B24" s="126" t="s">
        <v>75</v>
      </c>
      <c r="C24" s="123">
        <v>10</v>
      </c>
      <c r="D24" s="141"/>
      <c r="H24" s="185"/>
      <c r="I24" s="185"/>
      <c r="J24" s="137">
        <f>J23-SUM(Table1116[Contractors])</f>
        <v>161</v>
      </c>
      <c r="K24" s="119" t="s">
        <v>76</v>
      </c>
      <c r="M24" s="144"/>
      <c r="R24" s="152" t="s">
        <v>61</v>
      </c>
      <c r="S24" s="153">
        <v>1</v>
      </c>
      <c r="T24" s="153">
        <v>0</v>
      </c>
      <c r="U24" s="153">
        <v>3</v>
      </c>
      <c r="V24" s="153">
        <v>1</v>
      </c>
      <c r="W24" s="170">
        <v>0</v>
      </c>
      <c r="X24" s="164"/>
      <c r="Y24" s="155"/>
      <c r="Z24" s="171"/>
      <c r="AA24" s="164"/>
      <c r="AB24" s="190"/>
      <c r="AC24" s="164"/>
      <c r="AD24" s="164">
        <v>1</v>
      </c>
      <c r="AE24" s="164"/>
      <c r="AF24" s="197">
        <f>SUMIFS('Regional allocations LIVE'!$T:$T,
  'Regional allocations LIVE'!$H:$H, $R24,
  'Regional allocations LIVE'!$D:$D, "&gt;=" &amp; AF$4,
  'Regional allocations LIVE'!$D:$D, "&lt;=" &amp; Table14[[#Headers],[31/07/2025]]
)</f>
        <v>1</v>
      </c>
      <c r="AG24" s="197">
        <f>SUMIFS('Regional allocations LIVE'!$T:$T,
  'Regional allocations LIVE'!$H:$H, $R24,
  'Regional allocations LIVE'!$D:$D, "&gt;=" &amp; AG$4,
  'Regional allocations LIVE'!$D:$D, "&lt;=" &amp; Table14[[#Headers],[31/08/2025]]
)</f>
        <v>3</v>
      </c>
      <c r="AH24" s="197">
        <f>SUMIFS('Regional allocations LIVE'!$T:$T,
  'Regional allocations LIVE'!$H:$H, $R24,
  'Regional allocations LIVE'!$D:$D, "&gt;=" &amp; AH$4,
  'Regional allocations LIVE'!$D:$D, "&lt;=" &amp; Table14[[#Headers],[30/09/2025]]
)</f>
        <v>0</v>
      </c>
      <c r="AI24" s="197">
        <f>SUMIFS('Regional allocations LIVE'!$T:$T,
  'Regional allocations LIVE'!$H:$H, $R24,
  'Regional allocations LIVE'!$D:$D, "&gt;=" &amp; AI$4,
  'Regional allocations LIVE'!$D:$D, "&lt;=" &amp; Table14[[#Headers],[31/10/2025]]
)</f>
        <v>0</v>
      </c>
      <c r="AJ24" s="197">
        <f>SUMIFS('Regional allocations LIVE'!$T:$T,
  'Regional allocations LIVE'!$H:$H, $R24,
  'Regional allocations LIVE'!$D:$D, "&gt;=" &amp; AJ$4,
  'Regional allocations LIVE'!$D:$D, "&lt;=" &amp; Table14[[#Headers],[30/11/2025]]
)</f>
        <v>2</v>
      </c>
      <c r="AK24" s="197">
        <f>SUMIFS('Regional allocations LIVE'!$T:$T,
  'Regional allocations LIVE'!$H:$H, $R24,
  'Regional allocations LIVE'!$D:$D, "&gt;=" &amp; AK$4,
  'Regional allocations LIVE'!$D:$D, "&lt;=" &amp; Table14[[#Headers],[31/12/2025]]
)</f>
        <v>1</v>
      </c>
      <c r="AL24" s="197">
        <f>SUMIFS('Regional allocations LIVE'!$T:$T,
  'Regional allocations LIVE'!$H:$H, $R24,
  'Regional allocations LIVE'!$D:$D, "&gt;=" &amp; AL$4,
  'Regional allocations LIVE'!$D:$D, "&lt;=" &amp; Table14[[#Headers],[30/01/2026]]
)</f>
        <v>0</v>
      </c>
      <c r="AM24" s="197">
        <f>SUMIFS('Regional allocations LIVE'!$T:$T,
  'Regional allocations LIVE'!$H:$H, $R24,
  'Regional allocations LIVE'!$D:$D, "&gt;=" &amp; AM$4,
  'Regional allocations LIVE'!$D:$D, "&lt;=" &amp; Table14[[#Headers],[28/02/2026]]
)</f>
        <v>0</v>
      </c>
      <c r="AN24" s="197">
        <f>SUMIFS('Regional allocations LIVE'!$T:$T,
  'Regional allocations LIVE'!$H:$H, $R24,
  'Regional allocations LIVE'!$D:$D, "&gt;=" &amp; AN$4,
  'Regional allocations LIVE'!$D:$D, "&lt;=" &amp; Table14[[#Headers],[31/03/2026]]
)</f>
        <v>0</v>
      </c>
      <c r="AO24" s="197">
        <f>SUMIFS('Regional allocations LIVE'!$T:$T,
  'Regional allocations LIVE'!$H:$H, $R24,
  'Regional allocations LIVE'!$D:$D, "&gt;=" &amp; AO$4,
  'Regional allocations LIVE'!$D:$D, "&lt;=" &amp; Table14[[#Headers],[30/04/2026]]
)</f>
        <v>0</v>
      </c>
      <c r="AP24" s="197">
        <f>SUMIFS('Regional allocations LIVE'!$T:$T,
  'Regional allocations LIVE'!$H:$H, $R24,
  'Regional allocations LIVE'!$D:$D, "&gt;=" &amp; AP$4,
  'Regional allocations LIVE'!$D:$D, "&lt;=" &amp; Table14[[#Headers],[31/05/2026]]
)</f>
        <v>0</v>
      </c>
      <c r="AQ24" s="197">
        <f>SUMIFS('Regional allocations LIVE'!$T:$T,
  'Regional allocations LIVE'!$H:$H, $R24,
  'Regional allocations LIVE'!$D:$D, "&gt;=" &amp; AQ$4,
  'Regional allocations LIVE'!$D:$D, "&lt;=" &amp; Table14[[#Headers],[30/06/2026]]
)</f>
        <v>0</v>
      </c>
      <c r="AR24" s="197">
        <f>SUMIFS('Regional allocations LIVE'!$T:$T,
  'Regional allocations LIVE'!$H:$H, $R24,
  'Regional allocations LIVE'!$D:$D, "&gt;=" &amp; AR$4,
  'Regional allocations LIVE'!$D:$D, "&lt;=" &amp; Table14[[#Headers],[31/07/2026]]
)</f>
        <v>0</v>
      </c>
      <c r="AS24" s="197">
        <f>SUMIFS('Regional allocations LIVE'!$T:$T,
  'Regional allocations LIVE'!$H:$H, $R24,
  'Regional allocations LIVE'!$D:$D, "&gt;=" &amp; AS$4,
  'Regional allocations LIVE'!$D:$D, "&lt;=" &amp; Table14[[#Headers],[31/08/2026]]
)</f>
        <v>0</v>
      </c>
      <c r="AT24" s="197">
        <f>SUMIFS('Regional allocations LIVE'!$T:$T,
  'Regional allocations LIVE'!$H:$H, $R24,
  'Regional allocations LIVE'!$D:$D, "&gt;=" &amp; AT$4,
  'Regional allocations LIVE'!$D:$D, "&lt;=" &amp; Table14[[#Headers],[30/09/2026]]
)</f>
        <v>0</v>
      </c>
      <c r="AU24" s="197">
        <f>SUMIFS('Regional allocations LIVE'!$T:$T,
  'Regional allocations LIVE'!$H:$H, $R24,
  'Regional allocations LIVE'!$D:$D, "&gt;=" &amp; AU$4,
  'Regional allocations LIVE'!$D:$D, "&lt;=" &amp; Table14[[#Headers],[31/10/2026]]
)</f>
        <v>0</v>
      </c>
      <c r="AV24" s="197">
        <f>SUMIFS('Regional allocations LIVE'!$T:$T,
  'Regional allocations LIVE'!$H:$H, $R24,
  'Regional allocations LIVE'!$D:$D, "&gt;=" &amp; AV$4,
  'Regional allocations LIVE'!$D:$D, "&lt;=" &amp; Table14[[#Headers],[30/11/2026]]
)</f>
        <v>0</v>
      </c>
      <c r="AW24" s="197">
        <f>SUMIFS('Regional allocations LIVE'!$T:$T,
  'Regional allocations LIVE'!$H:$H, $R24,
  'Regional allocations LIVE'!$D:$D, "&gt;=" &amp; AW$4,
  'Regional allocations LIVE'!$D:$D, "&lt;=" &amp; Table14[[#Headers],[31/12/2026]]
)</f>
        <v>0</v>
      </c>
      <c r="AX24" s="197">
        <f>SUMIFS('Regional allocations LIVE'!$T:$T,
  'Regional allocations LIVE'!$H:$H, $R24,
  'Regional allocations LIVE'!$D:$D, "&gt;=" &amp; AX$4,
  'Regional allocations LIVE'!$D:$D, "&lt;=" &amp; Table14[[#Headers],[30/01/2027]]
)</f>
        <v>0</v>
      </c>
      <c r="AY24" s="197">
        <f>SUMIFS('Regional allocations LIVE'!$T:$T,
  'Regional allocations LIVE'!$H:$H, $R24,
  'Regional allocations LIVE'!$D:$D, "&gt;=" &amp; AY$4,
  'Regional allocations LIVE'!$D:$D, "&lt;=" &amp; Table14[[#Headers],[28/02/2027]]
)</f>
        <v>0</v>
      </c>
      <c r="AZ24" s="197">
        <f>SUMIFS('Regional allocations LIVE'!$T:$T,
  'Regional allocations LIVE'!$H:$H, $R24,
  'Regional allocations LIVE'!$D:$D, "&gt;=" &amp; AZ$4,
  'Regional allocations LIVE'!$D:$D, "&lt;=" &amp; Table14[[#Headers],[31/03/2027]]
)</f>
        <v>0</v>
      </c>
      <c r="BA24" s="197">
        <f>SUMIFS('Regional allocations LIVE'!$T:$T,
  'Regional allocations LIVE'!$H:$H, $R24,
  'Regional allocations LIVE'!$D:$D, "&gt;=" &amp; BA$4,
  'Regional allocations LIVE'!$D:$D, "&lt;=" &amp; Table14[[#Headers],[30/04/2027]]
)</f>
        <v>0</v>
      </c>
      <c r="BB24" s="197">
        <f>SUMIFS('Regional allocations LIVE'!$T:$T,
  'Regional allocations LIVE'!$H:$H, $R24,
  'Regional allocations LIVE'!$D:$D, "&gt;=" &amp; BB$4,
  'Regional allocations LIVE'!$D:$D, "&lt;=" &amp; Table14[[#Headers],[31/05/2027]]
)</f>
        <v>0</v>
      </c>
      <c r="BC24" s="197">
        <f>SUMIFS('Regional allocations LIVE'!$T:$T,
  'Regional allocations LIVE'!$H:$H, $R24,
  'Regional allocations LIVE'!$D:$D, "&gt;=" &amp; BC$4,
  'Regional allocations LIVE'!$D:$D, "&lt;=" &amp; Table14[[#Headers],[30/06/2027]]
)</f>
        <v>0</v>
      </c>
      <c r="BD24" s="197">
        <f>SUMIFS('Regional allocations LIVE'!$T:$T,
  'Regional allocations LIVE'!$H:$H, $R24,
  'Regional allocations LIVE'!$D:$D, "&gt;=" &amp; BD$4,
  'Regional allocations LIVE'!$D:$D, "&lt;=" &amp; Table14[[#Headers],[31/07/2027]]
)</f>
        <v>0</v>
      </c>
      <c r="BE24" s="197">
        <f>SUMIFS('Regional allocations LIVE'!$T:$T,
  'Regional allocations LIVE'!$H:$H, $R24,
  'Regional allocations LIVE'!$D:$D, "&gt;=" &amp; BE$4,
  'Regional allocations LIVE'!$D:$D, "&lt;=" &amp; Table14[[#Headers],[31/08/2027]]
)</f>
        <v>0</v>
      </c>
      <c r="BF24" s="197">
        <f>SUMIFS('Regional allocations LIVE'!$T:$T,
  'Regional allocations LIVE'!$H:$H, $R24,
  'Regional allocations LIVE'!$D:$D, "&gt;=" &amp; BF$4,
  'Regional allocations LIVE'!$D:$D, "&lt;=" &amp; Table14[[#Headers],[30/09/2027]]
)</f>
        <v>0</v>
      </c>
      <c r="BG24" s="197">
        <f>SUMIFS('Regional allocations LIVE'!$T:$T,
  'Regional allocations LIVE'!$H:$H, $R24,
  'Regional allocations LIVE'!$D:$D, "&gt;=" &amp; BG$4,
  'Regional allocations LIVE'!$D:$D, "&lt;=" &amp; Table14[[#Headers],[31/10/2027]]
)</f>
        <v>0</v>
      </c>
    </row>
    <row r="25" spans="1:59" ht="12.6" x14ac:dyDescent="0.25">
      <c r="B25" s="215"/>
      <c r="C25" s="141"/>
      <c r="D25" s="141"/>
      <c r="H25" s="185"/>
      <c r="I25" s="185"/>
      <c r="J25" s="137">
        <f>SUM(I8:K16)-SUM(Table1116[Contractors])</f>
        <v>183</v>
      </c>
      <c r="K25" s="119" t="s">
        <v>76</v>
      </c>
      <c r="R25" s="152" t="s">
        <v>63</v>
      </c>
      <c r="S25" s="212"/>
      <c r="T25" s="212"/>
      <c r="U25" s="212"/>
      <c r="V25" s="212"/>
      <c r="W25" s="216"/>
      <c r="X25" s="183"/>
      <c r="Y25" s="168"/>
      <c r="Z25" s="168"/>
      <c r="AA25" s="183"/>
      <c r="AB25" s="183"/>
      <c r="AC25" s="183"/>
      <c r="AD25" s="183"/>
      <c r="AE25" s="183">
        <v>1</v>
      </c>
      <c r="AF25" s="197">
        <f>SUMIFS('Regional allocations LIVE'!$T:$T,
  'Regional allocations LIVE'!$H:$H, $R25,
  'Regional allocations LIVE'!$D:$D, "&gt;=" &amp; AF$4,
  'Regional allocations LIVE'!$D:$D, "&lt;=" &amp; Table14[[#Headers],[31/07/2025]]
)</f>
        <v>1</v>
      </c>
      <c r="AG25" s="197">
        <f>SUMIFS('Regional allocations LIVE'!$T:$T,
  'Regional allocations LIVE'!$H:$H, $R25,
  'Regional allocations LIVE'!$D:$D, "&gt;=" &amp; AG$4,
  'Regional allocations LIVE'!$D:$D, "&lt;=" &amp; Table14[[#Headers],[31/08/2025]]
)</f>
        <v>0.5</v>
      </c>
      <c r="AH25" s="197">
        <f>SUMIFS('Regional allocations LIVE'!$T:$T,
  'Regional allocations LIVE'!$H:$H, $R25,
  'Regional allocations LIVE'!$D:$D, "&gt;=" &amp; AH$4,
  'Regional allocations LIVE'!$D:$D, "&lt;=" &amp; Table14[[#Headers],[30/09/2025]]
)</f>
        <v>0.2</v>
      </c>
      <c r="AI25" s="197">
        <f>SUMIFS('Regional allocations LIVE'!$T:$T,
  'Regional allocations LIVE'!$H:$H, $R25,
  'Regional allocations LIVE'!$D:$D, "&gt;=" &amp; AI$4,
  'Regional allocations LIVE'!$D:$D, "&lt;=" &amp; Table14[[#Headers],[31/10/2025]]
)</f>
        <v>0</v>
      </c>
      <c r="AJ25" s="197">
        <f>SUMIFS('Regional allocations LIVE'!$T:$T,
  'Regional allocations LIVE'!$H:$H, $R25,
  'Regional allocations LIVE'!$D:$D, "&gt;=" &amp; AJ$4,
  'Regional allocations LIVE'!$D:$D, "&lt;=" &amp; Table14[[#Headers],[30/11/2025]]
)</f>
        <v>0</v>
      </c>
      <c r="AK25" s="197">
        <f>SUMIFS('Regional allocations LIVE'!$T:$T,
  'Regional allocations LIVE'!$H:$H, $R25,
  'Regional allocations LIVE'!$D:$D, "&gt;=" &amp; AK$4,
  'Regional allocations LIVE'!$D:$D, "&lt;=" &amp; Table14[[#Headers],[31/12/2025]]
)</f>
        <v>0</v>
      </c>
      <c r="AL25" s="197">
        <f>SUMIFS('Regional allocations LIVE'!$T:$T,
  'Regional allocations LIVE'!$H:$H, $R25,
  'Regional allocations LIVE'!$D:$D, "&gt;=" &amp; AL$4,
  'Regional allocations LIVE'!$D:$D, "&lt;=" &amp; Table14[[#Headers],[30/01/2026]]
)</f>
        <v>0</v>
      </c>
      <c r="AM25" s="197">
        <f>SUMIFS('Regional allocations LIVE'!$T:$T,
  'Regional allocations LIVE'!$H:$H, $R25,
  'Regional allocations LIVE'!$D:$D, "&gt;=" &amp; AM$4,
  'Regional allocations LIVE'!$D:$D, "&lt;=" &amp; Table14[[#Headers],[28/02/2026]]
)</f>
        <v>0</v>
      </c>
      <c r="AN25" s="197">
        <f>SUMIFS('Regional allocations LIVE'!$T:$T,
  'Regional allocations LIVE'!$H:$H, $R25,
  'Regional allocations LIVE'!$D:$D, "&gt;=" &amp; AN$4,
  'Regional allocations LIVE'!$D:$D, "&lt;=" &amp; Table14[[#Headers],[31/03/2026]]
)</f>
        <v>0</v>
      </c>
      <c r="AO25" s="197">
        <f>SUMIFS('Regional allocations LIVE'!$T:$T,
  'Regional allocations LIVE'!$H:$H, $R25,
  'Regional allocations LIVE'!$D:$D, "&gt;=" &amp; AO$4,
  'Regional allocations LIVE'!$D:$D, "&lt;=" &amp; Table14[[#Headers],[30/04/2026]]
)</f>
        <v>0</v>
      </c>
      <c r="AP25" s="197">
        <f>SUMIFS('Regional allocations LIVE'!$T:$T,
  'Regional allocations LIVE'!$H:$H, $R25,
  'Regional allocations LIVE'!$D:$D, "&gt;=" &amp; AP$4,
  'Regional allocations LIVE'!$D:$D, "&lt;=" &amp; Table14[[#Headers],[31/05/2026]]
)</f>
        <v>0</v>
      </c>
      <c r="AQ25" s="197">
        <f>SUMIFS('Regional allocations LIVE'!$T:$T,
  'Regional allocations LIVE'!$H:$H, $R25,
  'Regional allocations LIVE'!$D:$D, "&gt;=" &amp; AQ$4,
  'Regional allocations LIVE'!$D:$D, "&lt;=" &amp; Table14[[#Headers],[30/06/2026]]
)</f>
        <v>0</v>
      </c>
      <c r="AR25" s="197">
        <f>SUMIFS('Regional allocations LIVE'!$T:$T,
  'Regional allocations LIVE'!$H:$H, $R25,
  'Regional allocations LIVE'!$D:$D, "&gt;=" &amp; AR$4,
  'Regional allocations LIVE'!$D:$D, "&lt;=" &amp; Table14[[#Headers],[31/07/2026]]
)</f>
        <v>0</v>
      </c>
      <c r="AS25" s="197">
        <f>SUMIFS('Regional allocations LIVE'!$T:$T,
  'Regional allocations LIVE'!$H:$H, $R25,
  'Regional allocations LIVE'!$D:$D, "&gt;=" &amp; AS$4,
  'Regional allocations LIVE'!$D:$D, "&lt;=" &amp; Table14[[#Headers],[31/08/2026]]
)</f>
        <v>0</v>
      </c>
      <c r="AT25" s="197">
        <f>SUMIFS('Regional allocations LIVE'!$T:$T,
  'Regional allocations LIVE'!$H:$H, $R25,
  'Regional allocations LIVE'!$D:$D, "&gt;=" &amp; AT$4,
  'Regional allocations LIVE'!$D:$D, "&lt;=" &amp; Table14[[#Headers],[30/09/2026]]
)</f>
        <v>0</v>
      </c>
      <c r="AU25" s="197">
        <f>SUMIFS('Regional allocations LIVE'!$T:$T,
  'Regional allocations LIVE'!$H:$H, $R25,
  'Regional allocations LIVE'!$D:$D, "&gt;=" &amp; AU$4,
  'Regional allocations LIVE'!$D:$D, "&lt;=" &amp; Table14[[#Headers],[31/10/2026]]
)</f>
        <v>0</v>
      </c>
      <c r="AV25" s="197">
        <f>SUMIFS('Regional allocations LIVE'!$T:$T,
  'Regional allocations LIVE'!$H:$H, $R25,
  'Regional allocations LIVE'!$D:$D, "&gt;=" &amp; AV$4,
  'Regional allocations LIVE'!$D:$D, "&lt;=" &amp; Table14[[#Headers],[30/11/2026]]
)</f>
        <v>0</v>
      </c>
      <c r="AW25" s="197">
        <f>SUMIFS('Regional allocations LIVE'!$T:$T,
  'Regional allocations LIVE'!$H:$H, $R25,
  'Regional allocations LIVE'!$D:$D, "&gt;=" &amp; AW$4,
  'Regional allocations LIVE'!$D:$D, "&lt;=" &amp; Table14[[#Headers],[31/12/2026]]
)</f>
        <v>0</v>
      </c>
      <c r="AX25" s="197">
        <f>SUMIFS('Regional allocations LIVE'!$T:$T,
  'Regional allocations LIVE'!$H:$H, $R25,
  'Regional allocations LIVE'!$D:$D, "&gt;=" &amp; AX$4,
  'Regional allocations LIVE'!$D:$D, "&lt;=" &amp; Table14[[#Headers],[30/01/2027]]
)</f>
        <v>0</v>
      </c>
      <c r="AY25" s="197">
        <f>SUMIFS('Regional allocations LIVE'!$T:$T,
  'Regional allocations LIVE'!$H:$H, $R25,
  'Regional allocations LIVE'!$D:$D, "&gt;=" &amp; AY$4,
  'Regional allocations LIVE'!$D:$D, "&lt;=" &amp; Table14[[#Headers],[28/02/2027]]
)</f>
        <v>0</v>
      </c>
      <c r="AZ25" s="197">
        <f>SUMIFS('Regional allocations LIVE'!$T:$T,
  'Regional allocations LIVE'!$H:$H, $R25,
  'Regional allocations LIVE'!$D:$D, "&gt;=" &amp; AZ$4,
  'Regional allocations LIVE'!$D:$D, "&lt;=" &amp; Table14[[#Headers],[31/03/2027]]
)</f>
        <v>0</v>
      </c>
      <c r="BA25" s="197">
        <f>SUMIFS('Regional allocations LIVE'!$T:$T,
  'Regional allocations LIVE'!$H:$H, $R25,
  'Regional allocations LIVE'!$D:$D, "&gt;=" &amp; BA$4,
  'Regional allocations LIVE'!$D:$D, "&lt;=" &amp; Table14[[#Headers],[30/04/2027]]
)</f>
        <v>0</v>
      </c>
      <c r="BB25" s="197">
        <f>SUMIFS('Regional allocations LIVE'!$T:$T,
  'Regional allocations LIVE'!$H:$H, $R25,
  'Regional allocations LIVE'!$D:$D, "&gt;=" &amp; BB$4,
  'Regional allocations LIVE'!$D:$D, "&lt;=" &amp; Table14[[#Headers],[31/05/2027]]
)</f>
        <v>0</v>
      </c>
      <c r="BC25" s="197">
        <f>SUMIFS('Regional allocations LIVE'!$T:$T,
  'Regional allocations LIVE'!$H:$H, $R25,
  'Regional allocations LIVE'!$D:$D, "&gt;=" &amp; BC$4,
  'Regional allocations LIVE'!$D:$D, "&lt;=" &amp; Table14[[#Headers],[30/06/2027]]
)</f>
        <v>0</v>
      </c>
      <c r="BD25" s="197">
        <f>SUMIFS('Regional allocations LIVE'!$T:$T,
  'Regional allocations LIVE'!$H:$H, $R25,
  'Regional allocations LIVE'!$D:$D, "&gt;=" &amp; BD$4,
  'Regional allocations LIVE'!$D:$D, "&lt;=" &amp; Table14[[#Headers],[31/07/2027]]
)</f>
        <v>0</v>
      </c>
      <c r="BE25" s="197">
        <f>SUMIFS('Regional allocations LIVE'!$T:$T,
  'Regional allocations LIVE'!$H:$H, $R25,
  'Regional allocations LIVE'!$D:$D, "&gt;=" &amp; BE$4,
  'Regional allocations LIVE'!$D:$D, "&lt;=" &amp; Table14[[#Headers],[31/08/2027]]
)</f>
        <v>0</v>
      </c>
      <c r="BF25" s="197">
        <f>SUMIFS('Regional allocations LIVE'!$T:$T,
  'Regional allocations LIVE'!$H:$H, $R25,
  'Regional allocations LIVE'!$D:$D, "&gt;=" &amp; BF$4,
  'Regional allocations LIVE'!$D:$D, "&lt;=" &amp; Table14[[#Headers],[30/09/2027]]
)</f>
        <v>0</v>
      </c>
      <c r="BG25" s="197">
        <f>SUMIFS('Regional allocations LIVE'!$T:$T,
  'Regional allocations LIVE'!$H:$H, $R25,
  'Regional allocations LIVE'!$D:$D, "&gt;=" &amp; BG$4,
  'Regional allocations LIVE'!$D:$D, "&lt;=" &amp; Table14[[#Headers],[31/10/2027]]
)</f>
        <v>0</v>
      </c>
    </row>
    <row r="26" spans="1:59" ht="12.6" x14ac:dyDescent="0.25">
      <c r="H26" s="185"/>
      <c r="I26" s="185"/>
      <c r="M26" s="118"/>
      <c r="R26" s="231" t="s">
        <v>64</v>
      </c>
      <c r="S26" s="232"/>
      <c r="T26" s="232"/>
      <c r="U26" s="232"/>
      <c r="V26" s="232"/>
      <c r="W26" s="240"/>
      <c r="X26" s="241"/>
      <c r="Y26" s="235"/>
      <c r="Z26" s="235"/>
      <c r="AA26" s="241"/>
      <c r="AB26" s="241"/>
      <c r="AC26" s="241">
        <f>SUM(Table16[30/04/2025])</f>
        <v>1</v>
      </c>
      <c r="AD26" s="241">
        <f>SUM(Table16[31/05/2025])</f>
        <v>2</v>
      </c>
      <c r="AE26" s="241">
        <f>SUM(Table16[30/06/2025])</f>
        <v>4</v>
      </c>
      <c r="AF26" s="241">
        <f>SUM(Table16[31/07/2025])</f>
        <v>3</v>
      </c>
      <c r="AG26" s="241">
        <f>SUM(Table16[31/08/2025])</f>
        <v>5.5</v>
      </c>
      <c r="AH26" s="241">
        <f>SUM(Table16[30/09/2025])</f>
        <v>4.2</v>
      </c>
      <c r="AI26" s="241">
        <f>SUM(Table16[31/10/2025])</f>
        <v>4</v>
      </c>
      <c r="AJ26" s="241">
        <f>SUM(Table16[30/11/2025])</f>
        <v>8</v>
      </c>
      <c r="AK26" s="241">
        <f>SUM(Table16[31/12/2025])</f>
        <v>2</v>
      </c>
      <c r="AL26" s="241">
        <f>SUM(Table16[30/01/2026])</f>
        <v>1</v>
      </c>
      <c r="AM26" s="241">
        <f>SUM(Table16[28/02/2026])</f>
        <v>0</v>
      </c>
      <c r="AN26" s="241">
        <f>SUM(Table16[31/03/2026])</f>
        <v>0</v>
      </c>
      <c r="AO26" s="241">
        <f>SUM(Table16[30/04/2026])</f>
        <v>0</v>
      </c>
      <c r="AP26" s="241">
        <f>SUM(Table16[31/05/2026])</f>
        <v>0</v>
      </c>
      <c r="AQ26" s="241">
        <f>SUM(Table16[30/06/2026])</f>
        <v>0</v>
      </c>
      <c r="AR26" s="241">
        <f>SUM(Table16[31/07/2026])</f>
        <v>0</v>
      </c>
      <c r="AS26" s="241">
        <f>SUM(Table16[31/08/2026])</f>
        <v>0</v>
      </c>
      <c r="AT26" s="241">
        <f>SUM(Table16[30/09/2026])</f>
        <v>0</v>
      </c>
      <c r="AU26" s="241">
        <f>SUM(Table16[31/10/2026])</f>
        <v>0</v>
      </c>
      <c r="AV26" s="241">
        <f>SUM(Table16[30/11/2026])</f>
        <v>0</v>
      </c>
      <c r="AW26" s="241">
        <f>SUM(Table16[31/12/2026])</f>
        <v>0</v>
      </c>
      <c r="AX26" s="241">
        <f>SUM(Table16[30/01/2027])</f>
        <v>0</v>
      </c>
      <c r="AY26" s="241">
        <f>SUM(Table16[28/02/2027])</f>
        <v>0</v>
      </c>
      <c r="AZ26" s="241">
        <f>SUM(Table16[31/03/2027])</f>
        <v>0</v>
      </c>
      <c r="BA26" s="241">
        <f>SUM(Table16[30/04/2027])</f>
        <v>0</v>
      </c>
      <c r="BB26" s="241">
        <f>SUM(Table16[31/05/2027])</f>
        <v>0</v>
      </c>
      <c r="BC26" s="241">
        <f>SUM(Table16[30/06/2027])</f>
        <v>0</v>
      </c>
      <c r="BD26" s="241">
        <f>SUM(Table16[31/07/2027])</f>
        <v>0</v>
      </c>
      <c r="BE26" s="241"/>
      <c r="BF26" s="241"/>
      <c r="BG26" s="241"/>
    </row>
    <row r="27" spans="1:59" ht="12.95" x14ac:dyDescent="0.3">
      <c r="H27" s="185"/>
      <c r="I27" s="185"/>
      <c r="J27" s="119" t="s">
        <v>77</v>
      </c>
      <c r="M27" s="118"/>
      <c r="R27" s="111" t="s">
        <v>78</v>
      </c>
    </row>
    <row r="28" spans="1:59" ht="20.100000000000001" x14ac:dyDescent="0.4">
      <c r="B28" s="113" t="s">
        <v>79</v>
      </c>
      <c r="H28" s="185"/>
      <c r="I28" s="185"/>
      <c r="J28" s="119" t="s">
        <v>80</v>
      </c>
      <c r="K28" s="119">
        <v>175</v>
      </c>
      <c r="L28" s="227" t="s">
        <v>81</v>
      </c>
      <c r="R28" s="164" t="s">
        <v>82</v>
      </c>
      <c r="S28" s="208" t="s">
        <v>5</v>
      </c>
      <c r="T28" s="208" t="s">
        <v>6</v>
      </c>
      <c r="U28" s="208" t="s">
        <v>7</v>
      </c>
      <c r="V28" s="208" t="s">
        <v>8</v>
      </c>
      <c r="W28" s="208" t="s">
        <v>9</v>
      </c>
      <c r="X28" s="208" t="s">
        <v>10</v>
      </c>
      <c r="Y28" s="208" t="s">
        <v>11</v>
      </c>
      <c r="Z28" s="208" t="s">
        <v>12</v>
      </c>
      <c r="AA28" s="208" t="s">
        <v>13</v>
      </c>
      <c r="AB28" s="208" t="s">
        <v>14</v>
      </c>
      <c r="AC28" s="208" t="s">
        <v>15</v>
      </c>
      <c r="AD28" s="209" t="s">
        <v>16</v>
      </c>
      <c r="AE28" s="228" t="s">
        <v>17</v>
      </c>
      <c r="AF28" s="238" t="s">
        <v>18</v>
      </c>
      <c r="AG28" s="237" t="s">
        <v>19</v>
      </c>
      <c r="AH28" s="164" t="s">
        <v>20</v>
      </c>
      <c r="AI28" s="164" t="s">
        <v>21</v>
      </c>
      <c r="AJ28" s="164" t="s">
        <v>22</v>
      </c>
      <c r="AK28" s="164" t="s">
        <v>23</v>
      </c>
      <c r="AL28" s="164" t="s">
        <v>24</v>
      </c>
      <c r="AM28" s="164" t="s">
        <v>25</v>
      </c>
      <c r="AN28" s="164" t="s">
        <v>26</v>
      </c>
      <c r="AO28" s="164" t="s">
        <v>27</v>
      </c>
      <c r="AP28" s="164" t="s">
        <v>28</v>
      </c>
      <c r="AQ28" s="164" t="s">
        <v>29</v>
      </c>
      <c r="AR28" s="164" t="s">
        <v>30</v>
      </c>
      <c r="AS28" s="164" t="s">
        <v>31</v>
      </c>
      <c r="AT28" s="164" t="s">
        <v>32</v>
      </c>
      <c r="AU28" s="164" t="s">
        <v>33</v>
      </c>
      <c r="AV28" s="164" t="s">
        <v>34</v>
      </c>
      <c r="AW28" s="164" t="s">
        <v>35</v>
      </c>
      <c r="AX28" s="164" t="s">
        <v>36</v>
      </c>
      <c r="AY28" s="164" t="s">
        <v>37</v>
      </c>
      <c r="AZ28" s="164" t="s">
        <v>38</v>
      </c>
      <c r="BA28" s="164" t="s">
        <v>39</v>
      </c>
      <c r="BB28" s="164" t="s">
        <v>40</v>
      </c>
      <c r="BC28" s="164" t="s">
        <v>41</v>
      </c>
      <c r="BD28" s="164" t="s">
        <v>42</v>
      </c>
      <c r="BE28" s="118" t="s">
        <v>43</v>
      </c>
      <c r="BF28" s="118" t="s">
        <v>44</v>
      </c>
      <c r="BG28" s="118" t="s">
        <v>45</v>
      </c>
    </row>
    <row r="29" spans="1:59" ht="12.6" x14ac:dyDescent="0.25">
      <c r="B29" s="158" t="s">
        <v>83</v>
      </c>
      <c r="C29" t="s">
        <v>84</v>
      </c>
      <c r="H29" s="185"/>
      <c r="I29" s="185"/>
      <c r="K29" s="119">
        <v>5</v>
      </c>
      <c r="L29" s="227" t="s">
        <v>85</v>
      </c>
      <c r="M29" s="121"/>
      <c r="Q29" s="152" t="s">
        <v>46</v>
      </c>
      <c r="R29" s="182">
        <v>37.200000000000003</v>
      </c>
      <c r="S29" s="197"/>
      <c r="T29" s="197"/>
      <c r="U29" s="197"/>
      <c r="V29" s="197">
        <v>-1</v>
      </c>
      <c r="W29" s="197"/>
      <c r="X29" s="197"/>
      <c r="Y29" s="182"/>
      <c r="Z29" s="182">
        <v>0</v>
      </c>
      <c r="AA29" s="198">
        <v>1</v>
      </c>
      <c r="AB29" s="190">
        <v>-1</v>
      </c>
      <c r="AC29" s="164">
        <v>1</v>
      </c>
      <c r="AD29" s="164"/>
      <c r="AE29" s="190">
        <v>-2</v>
      </c>
      <c r="AF29" s="190"/>
      <c r="AG29" s="164">
        <v>1</v>
      </c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</row>
    <row r="30" spans="1:59" ht="12.6" x14ac:dyDescent="0.25">
      <c r="H30" s="185"/>
      <c r="I30" s="185"/>
      <c r="K30" s="119">
        <v>5</v>
      </c>
      <c r="L30" s="227" t="s">
        <v>86</v>
      </c>
      <c r="M30" s="121"/>
      <c r="Q30" s="152" t="s">
        <v>55</v>
      </c>
      <c r="R30" s="155">
        <v>6</v>
      </c>
      <c r="S30" s="155"/>
      <c r="T30" s="164">
        <v>-1</v>
      </c>
      <c r="U30" s="164"/>
      <c r="V30" s="164"/>
      <c r="W30" s="164"/>
      <c r="X30" s="164"/>
      <c r="Y30" s="155"/>
      <c r="Z30" s="155"/>
      <c r="AA30" s="190">
        <v>-1</v>
      </c>
      <c r="AB30" s="190"/>
      <c r="AC30" s="164"/>
      <c r="AD30" s="164"/>
      <c r="AE30" s="190"/>
      <c r="AF30" s="190"/>
      <c r="AG30" s="164">
        <v>1</v>
      </c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</row>
    <row r="31" spans="1:59" ht="12.6" x14ac:dyDescent="0.25">
      <c r="B31" s="158" t="s">
        <v>87</v>
      </c>
      <c r="C31" s="158" t="s">
        <v>88</v>
      </c>
      <c r="D31"/>
      <c r="E31"/>
      <c r="F31"/>
      <c r="G31"/>
      <c r="H31"/>
      <c r="I31" s="185"/>
      <c r="K31" s="119">
        <v>2</v>
      </c>
      <c r="L31" s="227" t="s">
        <v>89</v>
      </c>
      <c r="Q31" s="152" t="s">
        <v>56</v>
      </c>
      <c r="R31" s="155">
        <v>18</v>
      </c>
      <c r="S31" s="155"/>
      <c r="T31" s="164"/>
      <c r="U31" s="164"/>
      <c r="V31" s="164"/>
      <c r="W31" s="164"/>
      <c r="X31" s="164"/>
      <c r="Y31" s="155"/>
      <c r="Z31" s="155"/>
      <c r="AA31" s="190"/>
      <c r="AB31" s="190"/>
      <c r="AC31" s="164"/>
      <c r="AD31" s="164"/>
      <c r="AE31" s="190"/>
      <c r="AF31" s="190"/>
      <c r="AG31" s="164">
        <v>-1</v>
      </c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</row>
    <row r="32" spans="1:59" ht="12.6" x14ac:dyDescent="0.25">
      <c r="B32" s="158" t="s">
        <v>90</v>
      </c>
      <c r="C32" t="s">
        <v>72</v>
      </c>
      <c r="D32" t="s">
        <v>73</v>
      </c>
      <c r="E32" t="s">
        <v>70</v>
      </c>
      <c r="F32" t="s">
        <v>75</v>
      </c>
      <c r="G32" t="s">
        <v>91</v>
      </c>
      <c r="H32" t="s">
        <v>84</v>
      </c>
      <c r="I32" s="185"/>
      <c r="L32" s="119" t="s">
        <v>92</v>
      </c>
      <c r="Q32" s="152" t="s">
        <v>57</v>
      </c>
      <c r="R32" s="155">
        <v>48.8</v>
      </c>
      <c r="S32" s="155"/>
      <c r="T32" s="164"/>
      <c r="U32" s="164"/>
      <c r="V32" s="164">
        <v>-2</v>
      </c>
      <c r="W32" s="164"/>
      <c r="X32" s="164"/>
      <c r="Y32" s="155">
        <v>1</v>
      </c>
      <c r="Z32" s="155">
        <v>-1</v>
      </c>
      <c r="AA32" s="190"/>
      <c r="AB32" s="190">
        <v>1</v>
      </c>
      <c r="AC32" s="164"/>
      <c r="AD32" s="164"/>
      <c r="AE32" s="190"/>
      <c r="AF32" s="190">
        <v>-1</v>
      </c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</row>
    <row r="33" spans="2:59" ht="12.6" x14ac:dyDescent="0.25">
      <c r="B33" s="159" t="s">
        <v>61</v>
      </c>
      <c r="C33"/>
      <c r="D33">
        <v>9</v>
      </c>
      <c r="E33">
        <v>28</v>
      </c>
      <c r="F33">
        <v>1</v>
      </c>
      <c r="G33">
        <v>1</v>
      </c>
      <c r="H33"/>
      <c r="I33" s="185"/>
      <c r="Q33" s="152" t="s">
        <v>59</v>
      </c>
      <c r="R33" s="155">
        <v>22.75</v>
      </c>
      <c r="S33" s="155">
        <v>-3</v>
      </c>
      <c r="T33" s="164">
        <v>-1</v>
      </c>
      <c r="U33" s="164">
        <v>-4</v>
      </c>
      <c r="V33" s="164">
        <v>1</v>
      </c>
      <c r="W33" s="164"/>
      <c r="X33" s="164">
        <v>-1</v>
      </c>
      <c r="Y33" s="155"/>
      <c r="Z33" s="155">
        <v>1</v>
      </c>
      <c r="AA33" s="190"/>
      <c r="AB33" s="190"/>
      <c r="AC33" s="164">
        <v>-1</v>
      </c>
      <c r="AD33" s="164"/>
      <c r="AE33" s="190"/>
      <c r="AF33" s="190"/>
      <c r="AG33" s="164">
        <v>-2</v>
      </c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</row>
    <row r="34" spans="2:59" ht="12.6" x14ac:dyDescent="0.25">
      <c r="B34" s="159" t="s">
        <v>59</v>
      </c>
      <c r="C34"/>
      <c r="D34"/>
      <c r="E34">
        <v>14</v>
      </c>
      <c r="F34">
        <v>1</v>
      </c>
      <c r="G34">
        <v>2</v>
      </c>
      <c r="H34"/>
      <c r="I34" s="185"/>
      <c r="K34" s="119">
        <f>SUM(K28:K32)</f>
        <v>187</v>
      </c>
      <c r="Q34" s="152" t="s">
        <v>60</v>
      </c>
      <c r="R34" s="155"/>
      <c r="S34" s="155"/>
      <c r="T34" s="164"/>
      <c r="U34" s="164"/>
      <c r="V34" s="164"/>
      <c r="W34" s="164"/>
      <c r="X34" s="164"/>
      <c r="Y34" s="155"/>
      <c r="Z34" s="155"/>
      <c r="AA34" s="190"/>
      <c r="AB34" s="190"/>
      <c r="AC34" s="164"/>
      <c r="AD34" s="164"/>
      <c r="AE34" s="190">
        <v>0</v>
      </c>
      <c r="AF34" s="190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</row>
    <row r="35" spans="2:59" ht="12.6" x14ac:dyDescent="0.25">
      <c r="B35" s="159" t="s">
        <v>62</v>
      </c>
      <c r="C35"/>
      <c r="D35"/>
      <c r="E35"/>
      <c r="F35">
        <v>4</v>
      </c>
      <c r="G35"/>
      <c r="H35"/>
      <c r="I35" s="185"/>
      <c r="J35" s="185"/>
      <c r="K35" s="185"/>
      <c r="L35" s="185"/>
      <c r="M35" s="185"/>
      <c r="Q35" s="152" t="s">
        <v>61</v>
      </c>
      <c r="R35" s="155">
        <v>27</v>
      </c>
      <c r="S35" s="155">
        <v>3</v>
      </c>
      <c r="T35" s="164">
        <v>2</v>
      </c>
      <c r="U35" s="164">
        <v>4</v>
      </c>
      <c r="V35" s="164">
        <v>2</v>
      </c>
      <c r="W35" s="164"/>
      <c r="X35" s="164">
        <v>1</v>
      </c>
      <c r="Y35" s="155">
        <v>-1</v>
      </c>
      <c r="Z35" s="155"/>
      <c r="AA35" s="190"/>
      <c r="AB35" s="190"/>
      <c r="AC35" s="164"/>
      <c r="AD35" s="164"/>
      <c r="AE35" s="190"/>
      <c r="AF35" s="190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</row>
    <row r="36" spans="2:59" ht="12.95" x14ac:dyDescent="0.3">
      <c r="B36" s="159" t="s">
        <v>46</v>
      </c>
      <c r="C36"/>
      <c r="D36"/>
      <c r="E36">
        <v>36</v>
      </c>
      <c r="F36">
        <v>4</v>
      </c>
      <c r="G36"/>
      <c r="H36"/>
      <c r="I36" s="185"/>
      <c r="J36" s="185"/>
      <c r="K36" s="185"/>
      <c r="L36" s="185"/>
      <c r="M36" s="185"/>
      <c r="Q36" s="49" t="s">
        <v>63</v>
      </c>
      <c r="R36" s="155"/>
      <c r="S36" s="155"/>
      <c r="T36" s="164"/>
      <c r="U36" s="164"/>
      <c r="V36" s="164"/>
      <c r="W36" s="164"/>
      <c r="X36" s="164"/>
      <c r="Y36" s="155"/>
      <c r="Z36" s="155"/>
      <c r="AA36" s="164"/>
      <c r="AB36" s="164"/>
      <c r="AC36" s="164"/>
      <c r="AD36" s="164"/>
      <c r="AE36" s="190">
        <v>1.5</v>
      </c>
      <c r="AF36" s="190">
        <v>1</v>
      </c>
      <c r="AG36" s="164">
        <v>1</v>
      </c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64"/>
      <c r="BB36" s="164"/>
      <c r="BC36" s="164"/>
      <c r="BD36" s="164"/>
    </row>
    <row r="37" spans="2:59" ht="12.6" x14ac:dyDescent="0.25">
      <c r="B37" s="159" t="s">
        <v>57</v>
      </c>
      <c r="C37">
        <v>8</v>
      </c>
      <c r="D37"/>
      <c r="E37">
        <v>34</v>
      </c>
      <c r="F37"/>
      <c r="G37">
        <v>4</v>
      </c>
      <c r="H37"/>
      <c r="Q37" s="163" t="s">
        <v>93</v>
      </c>
      <c r="R37" s="119">
        <f t="shared" ref="R37:AD37" si="2">SUM(R29:R35)</f>
        <v>159.75</v>
      </c>
      <c r="S37" s="163">
        <f t="shared" si="2"/>
        <v>0</v>
      </c>
      <c r="T37" s="163">
        <f t="shared" si="2"/>
        <v>0</v>
      </c>
      <c r="U37" s="163">
        <f t="shared" si="2"/>
        <v>0</v>
      </c>
      <c r="V37" s="163">
        <f t="shared" si="2"/>
        <v>0</v>
      </c>
      <c r="W37" s="163">
        <f t="shared" si="2"/>
        <v>0</v>
      </c>
      <c r="X37" s="163">
        <f t="shared" si="2"/>
        <v>0</v>
      </c>
      <c r="Y37" s="163">
        <f t="shared" si="2"/>
        <v>0</v>
      </c>
      <c r="Z37" s="163">
        <f t="shared" si="2"/>
        <v>0</v>
      </c>
      <c r="AA37" s="163">
        <f t="shared" si="2"/>
        <v>0</v>
      </c>
      <c r="AB37" s="163">
        <f t="shared" si="2"/>
        <v>0</v>
      </c>
      <c r="AC37" s="163">
        <f t="shared" si="2"/>
        <v>0</v>
      </c>
      <c r="AD37" s="163">
        <f t="shared" si="2"/>
        <v>0</v>
      </c>
      <c r="AE37" s="163">
        <f>SUM(AE29:AE36)</f>
        <v>-0.5</v>
      </c>
      <c r="AF37" s="163">
        <f t="shared" ref="AF37:AG37" si="3">SUM(AF29:AF36)</f>
        <v>0</v>
      </c>
      <c r="AG37" s="239">
        <f t="shared" si="3"/>
        <v>0</v>
      </c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</row>
    <row r="38" spans="2:59" ht="12.95" x14ac:dyDescent="0.3">
      <c r="B38" s="159" t="s">
        <v>55</v>
      </c>
      <c r="C38"/>
      <c r="D38"/>
      <c r="E38">
        <v>4</v>
      </c>
      <c r="F38"/>
      <c r="G38"/>
      <c r="H38"/>
      <c r="R38" s="111" t="s">
        <v>94</v>
      </c>
    </row>
    <row r="39" spans="2:59" ht="12.95" x14ac:dyDescent="0.3">
      <c r="B39" s="159" t="s">
        <v>95</v>
      </c>
      <c r="C39"/>
      <c r="D39"/>
      <c r="E39">
        <v>15</v>
      </c>
      <c r="F39"/>
      <c r="G39"/>
      <c r="H39"/>
      <c r="Q39" s="119" t="s">
        <v>4</v>
      </c>
      <c r="R39" s="184" t="s">
        <v>96</v>
      </c>
      <c r="S39" s="208" t="s">
        <v>5</v>
      </c>
      <c r="T39" s="208" t="s">
        <v>6</v>
      </c>
      <c r="U39" s="208" t="s">
        <v>7</v>
      </c>
      <c r="V39" s="208" t="s">
        <v>8</v>
      </c>
      <c r="W39" s="208" t="s">
        <v>9</v>
      </c>
      <c r="X39" s="208" t="s">
        <v>10</v>
      </c>
      <c r="Y39" s="208" t="s">
        <v>11</v>
      </c>
      <c r="Z39" s="208" t="s">
        <v>12</v>
      </c>
      <c r="AA39" s="208" t="s">
        <v>13</v>
      </c>
      <c r="AB39" s="208" t="s">
        <v>14</v>
      </c>
      <c r="AC39" s="208" t="s">
        <v>15</v>
      </c>
      <c r="AD39" s="209" t="s">
        <v>16</v>
      </c>
      <c r="AE39" s="228" t="s">
        <v>17</v>
      </c>
      <c r="AF39" s="238" t="s">
        <v>18</v>
      </c>
      <c r="AG39" s="237" t="s">
        <v>19</v>
      </c>
      <c r="AH39" s="164" t="s">
        <v>20</v>
      </c>
      <c r="AI39" s="164" t="s">
        <v>21</v>
      </c>
      <c r="AJ39" s="164" t="s">
        <v>22</v>
      </c>
      <c r="AK39" s="164" t="s">
        <v>23</v>
      </c>
      <c r="AL39" s="164" t="s">
        <v>24</v>
      </c>
      <c r="AM39" s="164" t="s">
        <v>25</v>
      </c>
      <c r="AN39" s="164" t="s">
        <v>26</v>
      </c>
      <c r="AO39" s="164" t="s">
        <v>27</v>
      </c>
      <c r="AP39" s="164" t="s">
        <v>28</v>
      </c>
      <c r="AQ39" s="164" t="s">
        <v>29</v>
      </c>
      <c r="AR39" s="164" t="s">
        <v>30</v>
      </c>
      <c r="AS39" s="164" t="s">
        <v>31</v>
      </c>
      <c r="AT39" s="164" t="s">
        <v>32</v>
      </c>
      <c r="AU39" s="164" t="s">
        <v>33</v>
      </c>
      <c r="AV39" s="164" t="s">
        <v>34</v>
      </c>
      <c r="AW39" s="164" t="s">
        <v>35</v>
      </c>
      <c r="AX39" s="164" t="s">
        <v>36</v>
      </c>
      <c r="AY39" s="164" t="s">
        <v>37</v>
      </c>
      <c r="AZ39" s="164" t="s">
        <v>38</v>
      </c>
      <c r="BA39" s="164" t="s">
        <v>39</v>
      </c>
      <c r="BB39" s="164" t="s">
        <v>40</v>
      </c>
      <c r="BC39" s="164" t="s">
        <v>41</v>
      </c>
      <c r="BD39" s="164" t="s">
        <v>42</v>
      </c>
      <c r="BE39" s="118" t="s">
        <v>43</v>
      </c>
      <c r="BF39" s="118" t="s">
        <v>44</v>
      </c>
      <c r="BG39" s="118" t="s">
        <v>45</v>
      </c>
    </row>
    <row r="40" spans="2:59" ht="12.6" x14ac:dyDescent="0.25">
      <c r="B40" s="159" t="s">
        <v>63</v>
      </c>
      <c r="C40"/>
      <c r="D40"/>
      <c r="E40">
        <v>4</v>
      </c>
      <c r="F40">
        <v>1</v>
      </c>
      <c r="G40">
        <v>2</v>
      </c>
      <c r="H40"/>
      <c r="Q40" s="152" t="s">
        <v>46</v>
      </c>
      <c r="R40" s="155">
        <f t="shared" ref="R40:R44" si="4">R29</f>
        <v>37.200000000000003</v>
      </c>
      <c r="S40" s="155">
        <f t="shared" ref="S40:S46" si="5">$R29+S18-S6+S29</f>
        <v>36.200000000000003</v>
      </c>
      <c r="T40" s="155">
        <f t="shared" ref="T40:T46" si="6">$R29+SUM(S18:T18)-SUM(S6:T6)+SUM(S29:T29)</f>
        <v>39.200000000000003</v>
      </c>
      <c r="U40" s="155">
        <f t="shared" ref="U40:U46" si="7">$R29+SUM(S18:U18)-SUM(S6:U6)+SUM(S29:U29)</f>
        <v>40.200000000000003</v>
      </c>
      <c r="V40" s="155">
        <f t="shared" ref="V40:V46" si="8">$R29+SUM(S18:V18)-SUM(S6:V6)+SUM(S29:V29)</f>
        <v>41.2</v>
      </c>
      <c r="W40" s="171">
        <f t="shared" ref="W40:W46" si="9">$R29+SUM(S18:W18)-SUM(S6:W6)+SUM(S29:W29)</f>
        <v>41.2</v>
      </c>
      <c r="X40" s="182">
        <f t="shared" ref="X40:X46" si="10">$R29+SUM(S18:X18)-SUM(S6:X6)+SUM(S29:X29)</f>
        <v>41.2</v>
      </c>
      <c r="Y40" s="182">
        <f t="shared" ref="Y40:Y46" si="11">$R29+SUM(S18:Y18)-SUM(S6:Y6)+SUM(S29:Y29)</f>
        <v>40.200000000000003</v>
      </c>
      <c r="Z40" s="182">
        <f t="shared" ref="Z40:Z46" si="12">$R29+SUM(S18:Z18)-SUM(S6:Z6)+SUM(S29:Z29)</f>
        <v>41.2</v>
      </c>
      <c r="AA40" s="182">
        <f t="shared" ref="AA40:AA46" si="13">$R29+SUM(S18:AA18)-SUM(S6:AA6)+SUM(S29:AA29)</f>
        <v>41.2</v>
      </c>
      <c r="AB40" s="182">
        <f t="shared" ref="AB40:AB46" si="14">$R29+SUM(S18:AB18)-SUM(S6:AB6)+SUM(S29:AB29)</f>
        <v>41.2</v>
      </c>
      <c r="AC40" s="182">
        <f t="shared" ref="AC40:AC46" si="15">$R29+SUM(S18:AC18)-SUM(S6:AC6)+SUM(S29:AC29)</f>
        <v>41.2</v>
      </c>
      <c r="AD40" s="182">
        <f t="shared" ref="AD40:AD46" si="16">$R29+SUM(S18:AD18)-SUM(S6:AD6)+SUM(S29:AD29)</f>
        <v>42.2</v>
      </c>
      <c r="AE40" s="182">
        <f t="shared" ref="AE40:AE46" si="17">$R29+SUM(S18:AE18)-SUM(S6:AE6)+SUM(S29:AE29)</f>
        <v>41.2</v>
      </c>
      <c r="AF40" s="182">
        <f>$R29+SUM($S18:AF18)-SUM($S6:AF6)+SUM($S29:AF29)</f>
        <v>41.2</v>
      </c>
      <c r="AG40" s="182">
        <f>$R29+SUM($S18:AG18)-SUM($S6:AG6)+SUM($S29:AG29)</f>
        <v>41.2</v>
      </c>
      <c r="AH40" s="182">
        <f>$R29+SUM($S18:AH18)-SUM($S6:AH6)+SUM($S29:AH29)</f>
        <v>42.400000000000006</v>
      </c>
      <c r="AI40" s="182">
        <f>$R29+SUM($S18:AI18)-SUM($S6:AI6)+SUM($S29:AI29)</f>
        <v>44.400000000000006</v>
      </c>
      <c r="AJ40" s="182">
        <f>$R29+SUM($S18:AJ18)-SUM($S6:AJ6)+SUM($S29:AJ29)</f>
        <v>48.400000000000006</v>
      </c>
      <c r="AK40" s="182">
        <f>$R29+SUM($S18:AK18)-SUM($S6:AK6)+SUM($S29:AK29)</f>
        <v>49.400000000000006</v>
      </c>
      <c r="AL40" s="182">
        <f>$R29+SUM($S18:AL18)-SUM($S6:AL6)+SUM($S29:AL29)</f>
        <v>49.400000000000006</v>
      </c>
      <c r="AM40" s="182">
        <f>$R29+SUM($S18:AM18)-SUM($S6:AM6)+SUM($S29:AM29)</f>
        <v>49.400000000000006</v>
      </c>
      <c r="AN40" s="182">
        <f>$R29+SUM($S18:AN18)-SUM($S6:AN6)+SUM($S29:AN29)</f>
        <v>49.400000000000006</v>
      </c>
      <c r="AO40" s="182">
        <f>$R29+SUM($S18:AO18)-SUM($S6:AO6)+SUM($S29:AO29)</f>
        <v>49.400000000000006</v>
      </c>
      <c r="AP40" s="182">
        <f>$R29+SUM($S18:AP18)-SUM($S6:AP6)+SUM($S29:AP29)</f>
        <v>49.400000000000006</v>
      </c>
      <c r="AQ40" s="182">
        <f>$R29+SUM($S18:AQ18)-SUM($S6:AQ6)+SUM($S29:AQ29)</f>
        <v>49.400000000000006</v>
      </c>
      <c r="AR40" s="182">
        <f>$R29+SUM($S18:AR18)-SUM($S6:AR6)+SUM($S29:AR29)</f>
        <v>49.400000000000006</v>
      </c>
      <c r="AS40" s="182">
        <f>$R29+SUM($S18:AS18)-SUM($S6:AS6)+SUM($S29:AS29)</f>
        <v>49.400000000000006</v>
      </c>
      <c r="AT40" s="182">
        <f>$R29+SUM($S18:AT18)-SUM($S6:AT6)+SUM($S29:AT29)</f>
        <v>49.400000000000006</v>
      </c>
      <c r="AU40" s="182">
        <f>$R29+SUM($S18:AU18)-SUM($S6:AU6)+SUM($S29:AU29)</f>
        <v>49.400000000000006</v>
      </c>
      <c r="AV40" s="182">
        <f>$R29+SUM($S18:AV18)-SUM($S6:AV6)+SUM($S29:AV29)</f>
        <v>49.400000000000006</v>
      </c>
      <c r="AW40" s="182">
        <f>$R29+SUM($S18:AW18)-SUM($S6:AW6)+SUM($S29:AW29)</f>
        <v>49.400000000000006</v>
      </c>
      <c r="AX40" s="182">
        <f>$R29+SUM($S18:AX18)-SUM($S6:AX6)+SUM($S29:AX29)</f>
        <v>49.400000000000006</v>
      </c>
      <c r="AY40" s="182">
        <f>$R29+SUM($S18:AY18)-SUM($S6:AY6)+SUM($S29:AY29)</f>
        <v>49.400000000000006</v>
      </c>
      <c r="AZ40" s="182">
        <f>$R29+SUM($S18:AZ18)-SUM($S6:AZ6)+SUM($S29:AZ29)</f>
        <v>49.400000000000006</v>
      </c>
      <c r="BA40" s="182">
        <f>$R29+SUM($S18:BA18)-SUM($S6:BA6)+SUM($S29:BA29)</f>
        <v>49.400000000000006</v>
      </c>
      <c r="BB40" s="182">
        <f>$R29+SUM($S18:BB18)-SUM($S6:BB6)+SUM($S29:BB29)</f>
        <v>49.400000000000006</v>
      </c>
      <c r="BC40" s="182">
        <f>$R29+SUM($S18:BC18)-SUM($S6:BC6)+SUM($S29:BC29)</f>
        <v>49.400000000000006</v>
      </c>
      <c r="BD40" s="182"/>
    </row>
    <row r="41" spans="2:59" ht="12.6" x14ac:dyDescent="0.25">
      <c r="B41" s="159" t="s">
        <v>97</v>
      </c>
      <c r="C41"/>
      <c r="D41"/>
      <c r="E41">
        <v>1</v>
      </c>
      <c r="F41"/>
      <c r="G41"/>
      <c r="H41"/>
      <c r="Q41" s="152" t="s">
        <v>55</v>
      </c>
      <c r="R41" s="155">
        <f t="shared" si="4"/>
        <v>6</v>
      </c>
      <c r="S41" s="155">
        <f t="shared" si="5"/>
        <v>6</v>
      </c>
      <c r="T41" s="155">
        <f t="shared" si="6"/>
        <v>5</v>
      </c>
      <c r="U41" s="155">
        <f t="shared" si="7"/>
        <v>5</v>
      </c>
      <c r="V41" s="155">
        <f t="shared" si="8"/>
        <v>4</v>
      </c>
      <c r="W41" s="171">
        <f t="shared" si="9"/>
        <v>4</v>
      </c>
      <c r="X41" s="155">
        <f t="shared" si="10"/>
        <v>4</v>
      </c>
      <c r="Y41" s="155">
        <f t="shared" si="11"/>
        <v>4</v>
      </c>
      <c r="Z41" s="155">
        <f t="shared" si="12"/>
        <v>4</v>
      </c>
      <c r="AA41" s="155">
        <f t="shared" si="13"/>
        <v>3</v>
      </c>
      <c r="AB41" s="155">
        <f t="shared" si="14"/>
        <v>3</v>
      </c>
      <c r="AC41" s="155">
        <f t="shared" si="15"/>
        <v>3</v>
      </c>
      <c r="AD41" s="155">
        <f t="shared" si="16"/>
        <v>3</v>
      </c>
      <c r="AE41" s="182">
        <f t="shared" si="17"/>
        <v>3</v>
      </c>
      <c r="AF41" s="182">
        <f>$R30+SUM($S19:AF19)-SUM($S7:AF7)+SUM($S30:AF30)</f>
        <v>3</v>
      </c>
      <c r="AG41" s="182">
        <f>$R30+SUM($S19:AG19)-SUM($S7:AG7)+SUM($S30:AG30)</f>
        <v>4</v>
      </c>
      <c r="AH41" s="182">
        <f>$R30+SUM($S19:AH19)-SUM($S7:AH7)+SUM($S30:AH30)</f>
        <v>4</v>
      </c>
      <c r="AI41" s="182">
        <f>$R30+SUM($S19:AI19)-SUM($S7:AI7)+SUM($S30:AI30)</f>
        <v>4</v>
      </c>
      <c r="AJ41" s="182">
        <f>$R30+SUM($S19:AJ19)-SUM($S7:AJ7)+SUM($S30:AJ30)</f>
        <v>4</v>
      </c>
      <c r="AK41" s="182">
        <f>$R30+SUM($S19:AK19)-SUM($S7:AK7)+SUM($S30:AK30)</f>
        <v>4</v>
      </c>
      <c r="AL41" s="182">
        <f>$R30+SUM($S19:AL19)-SUM($S7:AL7)+SUM($S30:AL30)</f>
        <v>4</v>
      </c>
      <c r="AM41" s="182">
        <f>$R30+SUM($S19:AM19)-SUM($S7:AM7)+SUM($S30:AM30)</f>
        <v>4</v>
      </c>
      <c r="AN41" s="182">
        <f>$R30+SUM($S19:AN19)-SUM($S7:AN7)+SUM($S30:AN30)</f>
        <v>4</v>
      </c>
      <c r="AO41" s="182">
        <f>$R30+SUM($S19:AO19)-SUM($S7:AO7)+SUM($S30:AO30)</f>
        <v>4</v>
      </c>
      <c r="AP41" s="182">
        <f>$R30+SUM($S19:AP19)-SUM($S7:AP7)+SUM($S30:AP30)</f>
        <v>4</v>
      </c>
      <c r="AQ41" s="182">
        <f>$R30+SUM($S19:AQ19)-SUM($S7:AQ7)+SUM($S30:AQ30)</f>
        <v>4</v>
      </c>
      <c r="AR41" s="182">
        <f>$R30+SUM($S19:AR19)-SUM($S7:AR7)+SUM($S30:AR30)</f>
        <v>4</v>
      </c>
      <c r="AS41" s="182">
        <f>$R30+SUM($S19:AS19)-SUM($S7:AS7)+SUM($S30:AS30)</f>
        <v>4</v>
      </c>
      <c r="AT41" s="182">
        <f>$R30+SUM($S19:AT19)-SUM($S7:AT7)+SUM($S30:AT30)</f>
        <v>4</v>
      </c>
      <c r="AU41" s="182">
        <f>$R30+SUM($S19:AU19)-SUM($S7:AU7)+SUM($S30:AU30)</f>
        <v>4</v>
      </c>
      <c r="AV41" s="182">
        <f>$R30+SUM($S19:AV19)-SUM($S7:AV7)+SUM($S30:AV30)</f>
        <v>4</v>
      </c>
      <c r="AW41" s="182">
        <f>$R30+SUM($S19:AW19)-SUM($S7:AW7)+SUM($S30:AW30)</f>
        <v>4</v>
      </c>
      <c r="AX41" s="182">
        <f>$R30+SUM($S19:AX19)-SUM($S7:AX7)+SUM($S30:AX30)</f>
        <v>4</v>
      </c>
      <c r="AY41" s="182">
        <f>$R30+SUM($S19:AY19)-SUM($S7:AY7)+SUM($S30:AY30)</f>
        <v>4</v>
      </c>
      <c r="AZ41" s="182">
        <f>$R30+SUM($S19:AZ19)-SUM($S7:AZ7)+SUM($S30:AZ30)</f>
        <v>4</v>
      </c>
      <c r="BA41" s="182">
        <f>$R30+SUM($S19:BA19)-SUM($S7:BA7)+SUM($S30:BA30)</f>
        <v>4</v>
      </c>
      <c r="BB41" s="182">
        <f>$R30+SUM($S19:BB19)-SUM($S7:BB7)+SUM($S30:BB30)</f>
        <v>4</v>
      </c>
      <c r="BC41" s="182">
        <f>$R30+SUM($S19:BC19)-SUM($S7:BC7)+SUM($S30:BC30)</f>
        <v>4</v>
      </c>
      <c r="BD41" s="155"/>
    </row>
    <row r="42" spans="2:59" ht="12.6" x14ac:dyDescent="0.25">
      <c r="B42"/>
      <c r="C42"/>
      <c r="D42"/>
      <c r="Q42" s="152" t="s">
        <v>56</v>
      </c>
      <c r="R42" s="155">
        <f t="shared" si="4"/>
        <v>18</v>
      </c>
      <c r="S42" s="155">
        <f t="shared" si="5"/>
        <v>18</v>
      </c>
      <c r="T42" s="155">
        <f t="shared" si="6"/>
        <v>17</v>
      </c>
      <c r="U42" s="155">
        <f t="shared" si="7"/>
        <v>17</v>
      </c>
      <c r="V42" s="155">
        <f t="shared" si="8"/>
        <v>17</v>
      </c>
      <c r="W42" s="171">
        <f t="shared" si="9"/>
        <v>17</v>
      </c>
      <c r="X42" s="155">
        <f t="shared" si="10"/>
        <v>17</v>
      </c>
      <c r="Y42" s="155">
        <f t="shared" si="11"/>
        <v>17</v>
      </c>
      <c r="Z42" s="155">
        <f t="shared" si="12"/>
        <v>16</v>
      </c>
      <c r="AA42" s="155">
        <f t="shared" si="13"/>
        <v>16</v>
      </c>
      <c r="AB42" s="155">
        <f t="shared" si="14"/>
        <v>16</v>
      </c>
      <c r="AC42" s="155">
        <f t="shared" si="15"/>
        <v>16</v>
      </c>
      <c r="AD42" s="155">
        <f t="shared" si="16"/>
        <v>16</v>
      </c>
      <c r="AE42" s="182">
        <f t="shared" si="17"/>
        <v>16</v>
      </c>
      <c r="AF42" s="182">
        <f>$R31+SUM($S20:AF20)-SUM($S8:AF8)+SUM($S31:AF31)</f>
        <v>16</v>
      </c>
      <c r="AG42" s="182">
        <f>$R31+SUM($S20:AG20)-SUM($S8:AG8)+SUM($S31:AG31)</f>
        <v>15</v>
      </c>
      <c r="AH42" s="182">
        <f>$R31+SUM($S20:AH20)-SUM($S8:AH8)+SUM($S31:AH31)</f>
        <v>15</v>
      </c>
      <c r="AI42" s="182">
        <f>$R31+SUM($S20:AI20)-SUM($S8:AI8)+SUM($S31:AI31)</f>
        <v>16</v>
      </c>
      <c r="AJ42" s="182">
        <f>$R31+SUM($S20:AJ20)-SUM($S8:AJ8)+SUM($S31:AJ31)</f>
        <v>16</v>
      </c>
      <c r="AK42" s="182">
        <f>$R31+SUM($S20:AK20)-SUM($S8:AK8)+SUM($S31:AK31)</f>
        <v>16</v>
      </c>
      <c r="AL42" s="182">
        <f>$R31+SUM($S20:AL20)-SUM($S8:AL8)+SUM($S31:AL31)</f>
        <v>16</v>
      </c>
      <c r="AM42" s="182">
        <f>$R31+SUM($S20:AM20)-SUM($S8:AM8)+SUM($S31:AM31)</f>
        <v>16</v>
      </c>
      <c r="AN42" s="182">
        <f>$R31+SUM($S20:AN20)-SUM($S8:AN8)+SUM($S31:AN31)</f>
        <v>16</v>
      </c>
      <c r="AO42" s="182">
        <f>$R31+SUM($S20:AO20)-SUM($S8:AO8)+SUM($S31:AO31)</f>
        <v>16</v>
      </c>
      <c r="AP42" s="182">
        <f>$R31+SUM($S20:AP20)-SUM($S8:AP8)+SUM($S31:AP31)</f>
        <v>16</v>
      </c>
      <c r="AQ42" s="182">
        <f>$R31+SUM($S20:AQ20)-SUM($S8:AQ8)+SUM($S31:AQ31)</f>
        <v>16</v>
      </c>
      <c r="AR42" s="182">
        <f>$R31+SUM($S20:AR20)-SUM($S8:AR8)+SUM($S31:AR31)</f>
        <v>16</v>
      </c>
      <c r="AS42" s="182">
        <f>$R31+SUM($S20:AS20)-SUM($S8:AS8)+SUM($S31:AS31)</f>
        <v>16</v>
      </c>
      <c r="AT42" s="182">
        <f>$R31+SUM($S20:AT20)-SUM($S8:AT8)+SUM($S31:AT31)</f>
        <v>16</v>
      </c>
      <c r="AU42" s="182">
        <f>$R31+SUM($S20:AU20)-SUM($S8:AU8)+SUM($S31:AU31)</f>
        <v>16</v>
      </c>
      <c r="AV42" s="182">
        <f>$R31+SUM($S20:AV20)-SUM($S8:AV8)+SUM($S31:AV31)</f>
        <v>16</v>
      </c>
      <c r="AW42" s="182">
        <f>$R31+SUM($S20:AW20)-SUM($S8:AW8)+SUM($S31:AW31)</f>
        <v>16</v>
      </c>
      <c r="AX42" s="182">
        <f>$R31+SUM($S20:AX20)-SUM($S8:AX8)+SUM($S31:AX31)</f>
        <v>16</v>
      </c>
      <c r="AY42" s="182">
        <f>$R31+SUM($S20:AY20)-SUM($S8:AY8)+SUM($S31:AY31)</f>
        <v>16</v>
      </c>
      <c r="AZ42" s="182">
        <f>$R31+SUM($S20:AZ20)-SUM($S8:AZ8)+SUM($S31:AZ31)</f>
        <v>16</v>
      </c>
      <c r="BA42" s="182">
        <f>$R31+SUM($S20:BA20)-SUM($S8:BA8)+SUM($S31:BA31)</f>
        <v>16</v>
      </c>
      <c r="BB42" s="182">
        <f>$R31+SUM($S20:BB20)-SUM($S8:BB8)+SUM($S31:BB31)</f>
        <v>16</v>
      </c>
      <c r="BC42" s="182">
        <f>$R31+SUM($S20:BC20)-SUM($S8:BC8)+SUM($S31:BC31)</f>
        <v>16</v>
      </c>
      <c r="BD42" s="155"/>
    </row>
    <row r="43" spans="2:59" ht="12.6" x14ac:dyDescent="0.25">
      <c r="B43"/>
      <c r="C43"/>
      <c r="D43"/>
      <c r="Q43" s="152" t="s">
        <v>57</v>
      </c>
      <c r="R43" s="155">
        <f t="shared" si="4"/>
        <v>48.8</v>
      </c>
      <c r="S43" s="155">
        <f t="shared" si="5"/>
        <v>46.8</v>
      </c>
      <c r="T43" s="155">
        <f t="shared" si="6"/>
        <v>46.8</v>
      </c>
      <c r="U43" s="155">
        <f t="shared" si="7"/>
        <v>46.8</v>
      </c>
      <c r="V43" s="155">
        <f t="shared" si="8"/>
        <v>46.8</v>
      </c>
      <c r="W43" s="171">
        <f t="shared" si="9"/>
        <v>46.8</v>
      </c>
      <c r="X43" s="155">
        <f t="shared" si="10"/>
        <v>45.8</v>
      </c>
      <c r="Y43" s="155">
        <f t="shared" si="11"/>
        <v>47.8</v>
      </c>
      <c r="Z43" s="155">
        <f t="shared" si="12"/>
        <v>47.8</v>
      </c>
      <c r="AA43" s="155">
        <f t="shared" si="13"/>
        <v>46.8</v>
      </c>
      <c r="AB43" s="155">
        <f t="shared" si="14"/>
        <v>46.8</v>
      </c>
      <c r="AC43" s="155">
        <f t="shared" si="15"/>
        <v>45.8</v>
      </c>
      <c r="AD43" s="155">
        <f t="shared" si="16"/>
        <v>44.8</v>
      </c>
      <c r="AE43" s="182">
        <f t="shared" si="17"/>
        <v>43.8</v>
      </c>
      <c r="AF43" s="182">
        <f>$R32+SUM($S21:AF21)-SUM($S9:AF9)+SUM($S32:AF32)</f>
        <v>42.8</v>
      </c>
      <c r="AG43" s="182">
        <f>$R32+SUM($S21:AG21)-SUM($S9:AG9)+SUM($S32:AG32)</f>
        <v>44.8</v>
      </c>
      <c r="AH43" s="182">
        <f>$R32+SUM($S21:AH21)-SUM($S9:AH9)+SUM($S32:AH32)</f>
        <v>45.8</v>
      </c>
      <c r="AI43" s="182">
        <f>$R32+SUM($S21:AI21)-SUM($S9:AI9)+SUM($S32:AI32)</f>
        <v>45.8</v>
      </c>
      <c r="AJ43" s="182">
        <f>$R32+SUM($S21:AJ21)-SUM($S9:AJ9)+SUM($S32:AJ32)</f>
        <v>46.8</v>
      </c>
      <c r="AK43" s="182">
        <f>$R32+SUM($S21:AK21)-SUM($S9:AK9)+SUM($S32:AK32)</f>
        <v>46.8</v>
      </c>
      <c r="AL43" s="182">
        <f>$R32+SUM($S21:AL21)-SUM($S9:AL9)+SUM($S32:AL32)</f>
        <v>47.8</v>
      </c>
      <c r="AM43" s="182">
        <f>$R32+SUM($S21:AM21)-SUM($S9:AM9)+SUM($S32:AM32)</f>
        <v>47.8</v>
      </c>
      <c r="AN43" s="182">
        <f>$R32+SUM($S21:AN21)-SUM($S9:AN9)+SUM($S32:AN32)</f>
        <v>47.8</v>
      </c>
      <c r="AO43" s="182">
        <f>$R32+SUM($S21:AO21)-SUM($S9:AO9)+SUM($S32:AO32)</f>
        <v>47.8</v>
      </c>
      <c r="AP43" s="182">
        <f>$R32+SUM($S21:AP21)-SUM($S9:AP9)+SUM($S32:AP32)</f>
        <v>47.8</v>
      </c>
      <c r="AQ43" s="182">
        <f>$R32+SUM($S21:AQ21)-SUM($S9:AQ9)+SUM($S32:AQ32)</f>
        <v>47.8</v>
      </c>
      <c r="AR43" s="182">
        <f>$R32+SUM($S21:AR21)-SUM($S9:AR9)+SUM($S32:AR32)</f>
        <v>47.8</v>
      </c>
      <c r="AS43" s="182">
        <f>$R32+SUM($S21:AS21)-SUM($S9:AS9)+SUM($S32:AS32)</f>
        <v>47.8</v>
      </c>
      <c r="AT43" s="182">
        <f>$R32+SUM($S21:AT21)-SUM($S9:AT9)+SUM($S32:AT32)</f>
        <v>47.8</v>
      </c>
      <c r="AU43" s="182">
        <f>$R32+SUM($S21:AU21)-SUM($S9:AU9)+SUM($S32:AU32)</f>
        <v>47.8</v>
      </c>
      <c r="AV43" s="182">
        <f>$R32+SUM($S21:AV21)-SUM($S9:AV9)+SUM($S32:AV32)</f>
        <v>47.8</v>
      </c>
      <c r="AW43" s="182">
        <f>$R32+SUM($S21:AW21)-SUM($S9:AW9)+SUM($S32:AW32)</f>
        <v>47.8</v>
      </c>
      <c r="AX43" s="182">
        <f>$R32+SUM($S21:AX21)-SUM($S9:AX9)+SUM($S32:AX32)</f>
        <v>47.8</v>
      </c>
      <c r="AY43" s="182">
        <f>$R32+SUM($S21:AY21)-SUM($S9:AY9)+SUM($S32:AY32)</f>
        <v>47.8</v>
      </c>
      <c r="AZ43" s="182">
        <f>$R32+SUM($S21:AZ21)-SUM($S9:AZ9)+SUM($S32:AZ32)</f>
        <v>47.8</v>
      </c>
      <c r="BA43" s="182">
        <f>$R32+SUM($S21:BA21)-SUM($S9:BA9)+SUM($S32:BA32)</f>
        <v>47.8</v>
      </c>
      <c r="BB43" s="182">
        <f>$R32+SUM($S21:BB21)-SUM($S9:BB9)+SUM($S32:BB32)</f>
        <v>47.8</v>
      </c>
      <c r="BC43" s="182">
        <f>$R32+SUM($S21:BC21)-SUM($S9:BC9)+SUM($S32:BC32)</f>
        <v>47.8</v>
      </c>
      <c r="BD43" s="155"/>
    </row>
    <row r="44" spans="2:59" ht="12.6" x14ac:dyDescent="0.25">
      <c r="B44"/>
      <c r="C44"/>
      <c r="D44"/>
      <c r="Q44" s="152" t="s">
        <v>59</v>
      </c>
      <c r="R44" s="155">
        <f t="shared" si="4"/>
        <v>22.75</v>
      </c>
      <c r="S44" s="155">
        <f t="shared" si="5"/>
        <v>19.75</v>
      </c>
      <c r="T44" s="155">
        <f t="shared" si="6"/>
        <v>22.75</v>
      </c>
      <c r="U44" s="155">
        <f t="shared" si="7"/>
        <v>18.75</v>
      </c>
      <c r="V44" s="155">
        <f t="shared" si="8"/>
        <v>19.75</v>
      </c>
      <c r="W44" s="171">
        <f t="shared" si="9"/>
        <v>21.75</v>
      </c>
      <c r="X44" s="155">
        <f t="shared" si="10"/>
        <v>20.75</v>
      </c>
      <c r="Y44" s="155">
        <f t="shared" si="11"/>
        <v>19.75</v>
      </c>
      <c r="Z44" s="155">
        <f t="shared" si="12"/>
        <v>18.75</v>
      </c>
      <c r="AA44" s="155">
        <f t="shared" si="13"/>
        <v>19.75</v>
      </c>
      <c r="AB44" s="155">
        <f t="shared" si="14"/>
        <v>20.75</v>
      </c>
      <c r="AC44" s="155">
        <f t="shared" si="15"/>
        <v>19.75</v>
      </c>
      <c r="AD44" s="155">
        <f t="shared" si="16"/>
        <v>19.75</v>
      </c>
      <c r="AE44" s="182">
        <f t="shared" si="17"/>
        <v>18.75</v>
      </c>
      <c r="AF44" s="182">
        <f>$R33+SUM($S22:AF22)-SUM($S10:AF10)+SUM($S33:AF33)</f>
        <v>18.75</v>
      </c>
      <c r="AG44" s="182">
        <f>$R33+SUM($S22:AG22)-SUM($S10:AG10)+SUM($S33:AG33)</f>
        <v>16.75</v>
      </c>
      <c r="AH44" s="182">
        <f>$R33+SUM($S22:AH22)-SUM($S10:AH10)+SUM($S33:AH33)</f>
        <v>16.75</v>
      </c>
      <c r="AI44" s="182">
        <f>$R33+SUM($S22:AI22)-SUM($S10:AI10)+SUM($S33:AI33)</f>
        <v>16.75</v>
      </c>
      <c r="AJ44" s="182">
        <f>$R33+SUM($S22:AJ22)-SUM($S10:AJ10)+SUM($S33:AJ33)</f>
        <v>17.75</v>
      </c>
      <c r="AK44" s="182">
        <f>$R33+SUM($S22:AK22)-SUM($S10:AK10)+SUM($S33:AK33)</f>
        <v>17.75</v>
      </c>
      <c r="AL44" s="182">
        <f>$R33+SUM($S22:AL22)-SUM($S10:AL10)+SUM($S33:AL33)</f>
        <v>17.75</v>
      </c>
      <c r="AM44" s="182">
        <f>$R33+SUM($S22:AM22)-SUM($S10:AM10)+SUM($S33:AM33)</f>
        <v>17.75</v>
      </c>
      <c r="AN44" s="182">
        <f>$R33+SUM($S22:AN22)-SUM($S10:AN10)+SUM($S33:AN33)</f>
        <v>17.75</v>
      </c>
      <c r="AO44" s="182">
        <f>$R33+SUM($S22:AO22)-SUM($S10:AO10)+SUM($S33:AO33)</f>
        <v>17.75</v>
      </c>
      <c r="AP44" s="182">
        <f>$R33+SUM($S22:AP22)-SUM($S10:AP10)+SUM($S33:AP33)</f>
        <v>17.75</v>
      </c>
      <c r="AQ44" s="182">
        <f>$R33+SUM($S22:AQ22)-SUM($S10:AQ10)+SUM($S33:AQ33)</f>
        <v>17.75</v>
      </c>
      <c r="AR44" s="182">
        <f>$R33+SUM($S22:AR22)-SUM($S10:AR10)+SUM($S33:AR33)</f>
        <v>17.75</v>
      </c>
      <c r="AS44" s="182">
        <f>$R33+SUM($S22:AS22)-SUM($S10:AS10)+SUM($S33:AS33)</f>
        <v>17.75</v>
      </c>
      <c r="AT44" s="182">
        <f>$R33+SUM($S22:AT22)-SUM($S10:AT10)+SUM($S33:AT33)</f>
        <v>17.75</v>
      </c>
      <c r="AU44" s="182">
        <f>$R33+SUM($S22:AU22)-SUM($S10:AU10)+SUM($S33:AU33)</f>
        <v>17.75</v>
      </c>
      <c r="AV44" s="182">
        <f>$R33+SUM($S22:AV22)-SUM($S10:AV10)+SUM($S33:AV33)</f>
        <v>17.75</v>
      </c>
      <c r="AW44" s="182">
        <f>$R33+SUM($S22:AW22)-SUM($S10:AW10)+SUM($S33:AW33)</f>
        <v>17.75</v>
      </c>
      <c r="AX44" s="182">
        <f>$R33+SUM($S22:AX22)-SUM($S10:AX10)+SUM($S33:AX33)</f>
        <v>17.75</v>
      </c>
      <c r="AY44" s="182">
        <f>$R33+SUM($S22:AY22)-SUM($S10:AY10)+SUM($S33:AY33)</f>
        <v>17.75</v>
      </c>
      <c r="AZ44" s="182">
        <f>$R33+SUM($S22:AZ22)-SUM($S10:AZ10)+SUM($S33:AZ33)</f>
        <v>17.75</v>
      </c>
      <c r="BA44" s="182">
        <f>$R33+SUM($S22:BA22)-SUM($S10:BA10)+SUM($S33:BA33)</f>
        <v>17.75</v>
      </c>
      <c r="BB44" s="182">
        <f>$R33+SUM($S22:BB22)-SUM($S10:BB10)+SUM($S33:BB33)</f>
        <v>17.75</v>
      </c>
      <c r="BC44" s="182">
        <f>$R33+SUM($S22:BC22)-SUM($S10:BC10)+SUM($S33:BC33)</f>
        <v>17.75</v>
      </c>
      <c r="BD44" s="155"/>
    </row>
    <row r="45" spans="2:59" ht="12.6" x14ac:dyDescent="0.25">
      <c r="B45"/>
      <c r="C45"/>
      <c r="D45"/>
      <c r="Q45" s="152" t="s">
        <v>60</v>
      </c>
      <c r="R45" s="155"/>
      <c r="S45" s="155"/>
      <c r="T45" s="155"/>
      <c r="U45" s="155"/>
      <c r="V45" s="155"/>
      <c r="W45" s="171"/>
      <c r="X45" s="155"/>
      <c r="Y45" s="155"/>
      <c r="Z45" s="155"/>
      <c r="AA45" s="155"/>
      <c r="AB45" s="155"/>
      <c r="AC45" s="155"/>
      <c r="AD45" s="155"/>
      <c r="AE45" s="182"/>
      <c r="AF45" s="182"/>
      <c r="AG45" s="182"/>
      <c r="AH45" s="182">
        <v>1</v>
      </c>
      <c r="AI45" s="182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55"/>
    </row>
    <row r="46" spans="2:59" ht="12.6" x14ac:dyDescent="0.25">
      <c r="B46"/>
      <c r="C46"/>
      <c r="D46"/>
      <c r="Q46" s="152" t="s">
        <v>61</v>
      </c>
      <c r="R46" s="155">
        <f>R35</f>
        <v>27</v>
      </c>
      <c r="S46" s="155">
        <f t="shared" si="5"/>
        <v>31</v>
      </c>
      <c r="T46" s="155">
        <f t="shared" si="6"/>
        <v>32</v>
      </c>
      <c r="U46" s="155">
        <f t="shared" si="7"/>
        <v>39</v>
      </c>
      <c r="V46" s="155">
        <f t="shared" si="8"/>
        <v>41</v>
      </c>
      <c r="W46" s="171">
        <f t="shared" si="9"/>
        <v>41</v>
      </c>
      <c r="X46" s="155">
        <f t="shared" si="10"/>
        <v>42</v>
      </c>
      <c r="Y46" s="155">
        <f t="shared" si="11"/>
        <v>41</v>
      </c>
      <c r="Z46" s="155">
        <f t="shared" si="12"/>
        <v>41</v>
      </c>
      <c r="AA46" s="155">
        <f t="shared" si="13"/>
        <v>41</v>
      </c>
      <c r="AB46" s="155">
        <f t="shared" si="14"/>
        <v>41</v>
      </c>
      <c r="AC46" s="155">
        <f t="shared" si="15"/>
        <v>41</v>
      </c>
      <c r="AD46" s="155">
        <f t="shared" si="16"/>
        <v>41</v>
      </c>
      <c r="AE46" s="182">
        <f t="shared" si="17"/>
        <v>39</v>
      </c>
      <c r="AF46" s="182">
        <f>$R35+SUM($S24:AF24)-SUM($S12:AF12)+SUM($S35:AF35)</f>
        <v>39</v>
      </c>
      <c r="AG46" s="182">
        <f>$R35+SUM($S24:AG24)-SUM($S12:AG12)+SUM($S35:AG35)</f>
        <v>41</v>
      </c>
      <c r="AH46" s="182">
        <f>$R35+SUM($S24:AH24)-SUM($S12:AH12)+SUM($S35:AH35)</f>
        <v>40</v>
      </c>
      <c r="AI46" s="182">
        <f>$R35+SUM($S24:AI24)-SUM($S12:AI12)+SUM($S35:AI35)</f>
        <v>38</v>
      </c>
      <c r="AJ46" s="182">
        <f>$R35+SUM($S24:AJ24)-SUM($S12:AJ12)+SUM($S35:AJ35)</f>
        <v>39</v>
      </c>
      <c r="AK46" s="182">
        <f>$R35+SUM($S24:AK24)-SUM($S12:AK12)+SUM($S35:AK35)</f>
        <v>39</v>
      </c>
      <c r="AL46" s="182">
        <f>$R35+SUM($S24:AL24)-SUM($S12:AL12)+SUM($S35:AL35)</f>
        <v>38</v>
      </c>
      <c r="AM46" s="182">
        <f>$R35+SUM($S24:AM24)-SUM($S12:AM12)+SUM($S35:AM35)</f>
        <v>38</v>
      </c>
      <c r="AN46" s="182">
        <f>$R35+SUM($S24:AN24)-SUM($S12:AN12)+SUM($S35:AN35)</f>
        <v>38</v>
      </c>
      <c r="AO46" s="182">
        <f>$R35+SUM($S24:AO24)-SUM($S12:AO12)+SUM($S35:AO35)</f>
        <v>38</v>
      </c>
      <c r="AP46" s="182">
        <f>$R35+SUM($S24:AP24)-SUM($S12:AP12)+SUM($S35:AP35)</f>
        <v>38</v>
      </c>
      <c r="AQ46" s="182">
        <f>$R35+SUM($S24:AQ24)-SUM($S12:AQ12)+SUM($S35:AQ35)</f>
        <v>38</v>
      </c>
      <c r="AR46" s="182">
        <f>$R35+SUM($S24:AR24)-SUM($S12:AR12)+SUM($S35:AR35)</f>
        <v>38</v>
      </c>
      <c r="AS46" s="182">
        <f>$R35+SUM($S24:AS24)-SUM($S12:AS12)+SUM($S35:AS35)</f>
        <v>38</v>
      </c>
      <c r="AT46" s="182">
        <f>$R35+SUM($S24:AT24)-SUM($S12:AT12)+SUM($S35:AT35)</f>
        <v>38</v>
      </c>
      <c r="AU46" s="182">
        <f>$R35+SUM($S24:AU24)-SUM($S12:AU12)+SUM($S35:AU35)</f>
        <v>38</v>
      </c>
      <c r="AV46" s="182">
        <f>$R35+SUM($S24:AV24)-SUM($S12:AV12)+SUM($S35:AV35)</f>
        <v>38</v>
      </c>
      <c r="AW46" s="182">
        <f>$R35+SUM($S24:AW24)-SUM($S12:AW12)+SUM($S35:AW35)</f>
        <v>38</v>
      </c>
      <c r="AX46" s="182">
        <f>$R35+SUM($S24:AX24)-SUM($S12:AX12)+SUM($S35:AX35)</f>
        <v>38</v>
      </c>
      <c r="AY46" s="182">
        <f>$R35+SUM($S24:AY24)-SUM($S12:AY12)+SUM($S35:AY35)</f>
        <v>38</v>
      </c>
      <c r="AZ46" s="182">
        <f>$R35+SUM($S24:AZ24)-SUM($S12:AZ12)+SUM($S35:AZ35)</f>
        <v>38</v>
      </c>
      <c r="BA46" s="182">
        <f>$R35+SUM($S24:BA24)-SUM($S12:BA12)+SUM($S35:BA35)</f>
        <v>38</v>
      </c>
      <c r="BB46" s="182">
        <f>$R35+SUM($S24:BB24)-SUM($S12:BB12)+SUM($S35:BB35)</f>
        <v>38</v>
      </c>
      <c r="BC46" s="182">
        <f>$R35+SUM($S24:BC24)-SUM($S12:BC12)+SUM($S35:BC35)</f>
        <v>38</v>
      </c>
      <c r="BD46" s="155"/>
    </row>
    <row r="47" spans="2:59" ht="12.95" x14ac:dyDescent="0.3">
      <c r="B47"/>
      <c r="C47"/>
      <c r="D47"/>
      <c r="Q47" s="49" t="s">
        <v>63</v>
      </c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>
        <f>AE36+AE25</f>
        <v>2.5</v>
      </c>
      <c r="AF47" s="168">
        <f>Table13[[#This Row],[30/06/2025]]+AF25+AF36</f>
        <v>4.5</v>
      </c>
      <c r="AG47" s="182">
        <f>Table13[[#This Row],[30/06/2025]]+SUM(AF25:AG25)+SUM(AF36:AG36)</f>
        <v>6</v>
      </c>
      <c r="AH47" s="182">
        <f>Table13[[#This Row],[31/07/2025]]+SUM(AG25:AH25)+SUM(AG36:AH36)</f>
        <v>6.2</v>
      </c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68"/>
      <c r="BD47" s="168"/>
    </row>
    <row r="48" spans="2:59" ht="12.6" x14ac:dyDescent="0.25">
      <c r="B48"/>
      <c r="C48"/>
      <c r="D48"/>
      <c r="Q48" s="118" t="s">
        <v>98</v>
      </c>
      <c r="R48" s="242">
        <f>SUM(R40:R47)</f>
        <v>159.75</v>
      </c>
      <c r="S48" s="242">
        <f>SUM(S40:S47)</f>
        <v>157.75</v>
      </c>
      <c r="T48" s="243">
        <f>SUM(T40:T46)</f>
        <v>162.75</v>
      </c>
      <c r="U48" s="243">
        <f>SUM(U40:U46)</f>
        <v>166.75</v>
      </c>
      <c r="V48" s="243">
        <f>SUM(V40:V46)</f>
        <v>169.75</v>
      </c>
      <c r="W48" s="243">
        <f>SUM(W40:W46)</f>
        <v>171.75</v>
      </c>
      <c r="X48" s="242">
        <f>SUM(X40:X47)</f>
        <v>170.75</v>
      </c>
      <c r="Y48" s="243">
        <f>SUM(Y40:Y46)</f>
        <v>169.75</v>
      </c>
      <c r="Z48" s="243">
        <f>SUM(Z40:Z46)</f>
        <v>168.75</v>
      </c>
      <c r="AA48" s="243">
        <f>SUM(AA40:AA46)</f>
        <v>167.75</v>
      </c>
      <c r="AB48" s="243">
        <f>SUM(AB40:AB46)</f>
        <v>168.75</v>
      </c>
      <c r="AC48" s="243">
        <f>SUM(AC40:AC46)</f>
        <v>166.75</v>
      </c>
      <c r="AD48" s="242">
        <f>SUM(AD40:AD47)</f>
        <v>166.75</v>
      </c>
      <c r="AE48" s="242">
        <f>SUM(AE40:AE47)</f>
        <v>164.25</v>
      </c>
      <c r="AF48" s="242">
        <f>SUM(AF40:AF47)</f>
        <v>165.25</v>
      </c>
      <c r="AG48" s="242">
        <f>SUM(AG40:AG47)</f>
        <v>168.75</v>
      </c>
      <c r="AH48" s="242">
        <f>SUM(AH40:AH47)</f>
        <v>171.14999999999998</v>
      </c>
    </row>
    <row r="49" spans="2:59" ht="15.75" customHeight="1" x14ac:dyDescent="0.2">
      <c r="Q49" s="119" t="s">
        <v>99</v>
      </c>
    </row>
    <row r="50" spans="2:59" ht="12.95" x14ac:dyDescent="0.3">
      <c r="B50" s="159" t="s">
        <v>57</v>
      </c>
      <c r="C50">
        <v>7</v>
      </c>
      <c r="D50"/>
      <c r="E50">
        <v>34</v>
      </c>
      <c r="F50"/>
      <c r="G50">
        <v>4</v>
      </c>
      <c r="H50">
        <v>45</v>
      </c>
      <c r="Q50" s="248" t="s">
        <v>100</v>
      </c>
      <c r="R50" s="111" t="s">
        <v>101</v>
      </c>
      <c r="AG50" s="118" t="s">
        <v>74</v>
      </c>
      <c r="AK50" s="275"/>
    </row>
    <row r="51" spans="2:59" ht="12.6" x14ac:dyDescent="0.25">
      <c r="B51" s="159" t="s">
        <v>56</v>
      </c>
      <c r="C51"/>
      <c r="D51"/>
      <c r="E51">
        <v>15</v>
      </c>
      <c r="F51"/>
      <c r="G51"/>
      <c r="H51">
        <v>15</v>
      </c>
      <c r="Q51" s="119" t="s">
        <v>4</v>
      </c>
      <c r="R51" s="184" t="s">
        <v>102</v>
      </c>
      <c r="S51" s="208" t="s">
        <v>103</v>
      </c>
      <c r="T51" s="208" t="s">
        <v>104</v>
      </c>
      <c r="U51" s="208" t="s">
        <v>7</v>
      </c>
      <c r="V51" s="208" t="s">
        <v>8</v>
      </c>
      <c r="W51" s="208" t="s">
        <v>9</v>
      </c>
      <c r="X51" s="208" t="s">
        <v>10</v>
      </c>
      <c r="Y51" s="208" t="s">
        <v>11</v>
      </c>
      <c r="Z51" s="208" t="s">
        <v>12</v>
      </c>
      <c r="AA51" s="208" t="s">
        <v>13</v>
      </c>
      <c r="AB51" s="208" t="s">
        <v>14</v>
      </c>
      <c r="AC51" s="208" t="s">
        <v>15</v>
      </c>
      <c r="AD51" s="209" t="s">
        <v>16</v>
      </c>
      <c r="AE51" s="228" t="s">
        <v>17</v>
      </c>
      <c r="AF51" s="238" t="s">
        <v>18</v>
      </c>
      <c r="AG51" s="164" t="s">
        <v>19</v>
      </c>
      <c r="AH51" s="164" t="s">
        <v>20</v>
      </c>
      <c r="AI51" s="164" t="s">
        <v>21</v>
      </c>
      <c r="AJ51" s="164" t="s">
        <v>22</v>
      </c>
      <c r="AK51" s="164" t="s">
        <v>23</v>
      </c>
      <c r="AL51" s="164" t="s">
        <v>24</v>
      </c>
      <c r="AM51" s="164" t="s">
        <v>25</v>
      </c>
      <c r="AN51" s="164" t="s">
        <v>26</v>
      </c>
      <c r="AO51" s="164" t="s">
        <v>27</v>
      </c>
      <c r="AP51" s="164" t="s">
        <v>28</v>
      </c>
      <c r="AQ51" s="164" t="s">
        <v>29</v>
      </c>
      <c r="AR51" s="164" t="s">
        <v>30</v>
      </c>
      <c r="AS51" s="164" t="s">
        <v>31</v>
      </c>
      <c r="AT51" s="164" t="s">
        <v>32</v>
      </c>
      <c r="AU51" s="164" t="s">
        <v>33</v>
      </c>
      <c r="AV51" s="164" t="s">
        <v>34</v>
      </c>
      <c r="AW51" s="164" t="s">
        <v>35</v>
      </c>
      <c r="AX51" s="164" t="s">
        <v>36</v>
      </c>
      <c r="AY51" s="164" t="s">
        <v>37</v>
      </c>
      <c r="AZ51" s="164" t="s">
        <v>38</v>
      </c>
      <c r="BA51" s="164" t="s">
        <v>39</v>
      </c>
      <c r="BB51" s="164" t="s">
        <v>40</v>
      </c>
      <c r="BC51" s="164" t="s">
        <v>41</v>
      </c>
      <c r="BD51" s="164" t="s">
        <v>42</v>
      </c>
      <c r="BE51" s="118" t="s">
        <v>43</v>
      </c>
      <c r="BF51" s="118" t="s">
        <v>44</v>
      </c>
      <c r="BG51" s="118" t="s">
        <v>45</v>
      </c>
    </row>
    <row r="52" spans="2:59" ht="12.6" x14ac:dyDescent="0.25">
      <c r="B52" s="159" t="s">
        <v>55</v>
      </c>
      <c r="C52"/>
      <c r="D52"/>
      <c r="E52">
        <v>2</v>
      </c>
      <c r="F52"/>
      <c r="G52"/>
      <c r="H52">
        <v>2</v>
      </c>
      <c r="O52" s="119" t="s">
        <v>46</v>
      </c>
      <c r="Q52" s="152" t="s">
        <v>46</v>
      </c>
      <c r="R52" s="155"/>
      <c r="S52" s="155"/>
      <c r="T52" s="155"/>
      <c r="U52" s="247"/>
      <c r="V52" s="155"/>
      <c r="W52" s="171"/>
      <c r="X52" s="182"/>
      <c r="Y52" s="182"/>
      <c r="Z52" s="182"/>
      <c r="AA52" s="182"/>
      <c r="AB52" s="182"/>
      <c r="AC52" s="182"/>
      <c r="AD52" s="182"/>
      <c r="AE52" s="182"/>
      <c r="AF52" s="182"/>
      <c r="AG52" s="250" cm="1">
        <f t="array" ref="AG52">SUMPRODUCT(
  ('Regional allocations LIVE'!$H$4:$H$269=$O52) *
  ('Regional allocations LIVE'!$D$4:$D$269&lt;AH$4) *
  (ISNUMBER('Regional allocations LIVE'!$D$4:$D$269)) *
  (('Regional allocations LIVE'!$R$4:$R$269="") + ('Regional allocations LIVE'!$R$4:$R$269&gt;=AH$4)) *
  'Regional allocations LIVE'!$T$4:$T$269)</f>
        <v>27.400000000000002</v>
      </c>
      <c r="AH52" s="250" cm="1">
        <f t="array" ref="AH52">SUMPRODUCT(
  ('Regional allocations LIVE'!$H$4:$H$269=$O52) *
  ('Regional allocations LIVE'!$D$4:$D$269&lt;AI$4) *
  (ISNUMBER('Regional allocations LIVE'!$D$4:$D$269)) *
  (('Regional allocations LIVE'!$R$4:$R$269="") + ('Regional allocations LIVE'!$R$4:$R$269&gt;=AI$4)) *
  'Regional allocations LIVE'!$T$4:$T$269)</f>
        <v>28.6</v>
      </c>
      <c r="AI52" s="249" cm="1">
        <f t="array" ref="AI52">SUMPRODUCT(
  ('Regional allocations LIVE'!$H$4:$H$269=$O52) *
  ('Regional allocations LIVE'!$D$4:$D$269&lt;AJ$4) *
  (ISNUMBER('Regional allocations LIVE'!$D$4:$D$269)) *
  (('Regional allocations LIVE'!$R$4:$R$269="") + ('Regional allocations LIVE'!$R$4:$R$269&gt;=AJ$4)) *
  'Regional allocations LIVE'!$T$4:$T$269)</f>
        <v>30.6</v>
      </c>
      <c r="AJ52" s="249" cm="1">
        <f t="array" ref="AJ52">SUMPRODUCT(
  ('Regional allocations LIVE'!$H$4:$H$269=$O52) *
  ('Regional allocations LIVE'!$D$4:$D$269&lt;AK$4) *
  (ISNUMBER('Regional allocations LIVE'!$D$4:$D$269)) *
  (('Regional allocations LIVE'!$R$4:$R$269="") + ('Regional allocations LIVE'!$R$4:$R$269&gt;=AK$4)) *
  'Regional allocations LIVE'!$T$4:$T$269)</f>
        <v>34.6</v>
      </c>
      <c r="AK52" s="276" cm="1">
        <f t="array" ref="AK52">SUMPRODUCT(
  ('Regional allocations LIVE'!$H$4:$H$269=$O52) *
  ('Regional allocations LIVE'!$D$4:$D$269&lt;AL$4) *
  (ISNUMBER('Regional allocations LIVE'!$D$4:$D$269)) *
  (('Regional allocations LIVE'!$R$4:$R$269="") + ('Regional allocations LIVE'!$R$4:$R$269&gt;=AL$4)) *
  'Regional allocations LIVE'!$T$4:$T$269)</f>
        <v>35.6</v>
      </c>
      <c r="AL52" s="249" cm="1">
        <f t="array" ref="AL52">SUMPRODUCT(
  ('Regional allocations LIVE'!$H$4:$H$269=$O52) *
  ('Regional allocations LIVE'!$D$4:$D$269&lt;AM$4) *
  (ISNUMBER('Regional allocations LIVE'!$D$4:$D$269)) *
  (('Regional allocations LIVE'!$R$4:$R$269="") + ('Regional allocations LIVE'!$R$4:$R$269&gt;=AM$4)) *
  'Regional allocations LIVE'!$T$4:$T$269)</f>
        <v>35.6</v>
      </c>
      <c r="AM52" s="249" cm="1">
        <f t="array" ref="AM52">SUMPRODUCT(
  ('Regional allocations LIVE'!$H$4:$H$269=$O52) *
  ('Regional allocations LIVE'!$D$4:$D$269&lt;AN$4) *
  (ISNUMBER('Regional allocations LIVE'!$D$4:$D$269)) *
  (('Regional allocations LIVE'!$R$4:$R$269="") + ('Regional allocations LIVE'!$R$4:$R$269&gt;=AN$4)) *
  'Regional allocations LIVE'!$T$4:$T$269)</f>
        <v>35.6</v>
      </c>
      <c r="AN52" s="249" cm="1">
        <f t="array" ref="AN52">SUMPRODUCT(
  ('Regional allocations LIVE'!$H$4:$H$269=$O52) *
  ('Regional allocations LIVE'!$D$4:$D$269&lt;AO$4) *
  (ISNUMBER('Regional allocations LIVE'!$D$4:$D$269)) *
  (('Regional allocations LIVE'!$R$4:$R$269="") + ('Regional allocations LIVE'!$R$4:$R$269&gt;=AO$4)) *
  'Regional allocations LIVE'!$T$4:$T$269)</f>
        <v>35.6</v>
      </c>
      <c r="AO52" s="249" cm="1">
        <f t="array" ref="AO52">SUMPRODUCT(
  ('Regional allocations LIVE'!$H$4:$H$269=$O52) *
  ('Regional allocations LIVE'!$D$4:$D$269&lt;AP$4) *
  (ISNUMBER('Regional allocations LIVE'!$D$4:$D$269)) *
  (('Regional allocations LIVE'!$R$4:$R$269="") + ('Regional allocations LIVE'!$R$4:$R$269&gt;=AP$4)) *
  'Regional allocations LIVE'!$T$4:$T$269)</f>
        <v>35.6</v>
      </c>
      <c r="AP52" s="249" cm="1">
        <f t="array" ref="AP52">SUMPRODUCT(
  ('Regional allocations LIVE'!$H$4:$H$269=$O52) *
  ('Regional allocations LIVE'!$D$4:$D$269&lt;AQ$4) *
  (ISNUMBER('Regional allocations LIVE'!$D$4:$D$269)) *
  (('Regional allocations LIVE'!$R$4:$R$269="") + ('Regional allocations LIVE'!$R$4:$R$269&gt;=AQ$4)) *
  'Regional allocations LIVE'!$T$4:$T$269)</f>
        <v>35.6</v>
      </c>
      <c r="AQ52" s="249" cm="1">
        <f t="array" ref="AQ52">SUMPRODUCT(
  ('Regional allocations LIVE'!$H$4:$H$269=$O52) *
  ('Regional allocations LIVE'!$D$4:$D$269&lt;AR$4) *
  (ISNUMBER('Regional allocations LIVE'!$D$4:$D$269)) *
  (('Regional allocations LIVE'!$R$4:$R$269="") + ('Regional allocations LIVE'!$R$4:$R$269&gt;=AR$4)) *
  'Regional allocations LIVE'!$T$4:$T$269)</f>
        <v>35.6</v>
      </c>
      <c r="AR52" s="249" cm="1">
        <f t="array" ref="AR52">SUMPRODUCT(
  ('Regional allocations LIVE'!$H$4:$H$269=$O52) *
  ('Regional allocations LIVE'!$D$4:$D$269&lt;AS$4) *
  (ISNUMBER('Regional allocations LIVE'!$D$4:$D$269)) *
  (('Regional allocations LIVE'!$R$4:$R$269="") + ('Regional allocations LIVE'!$R$4:$R$269&gt;=AS$4)) *
  'Regional allocations LIVE'!$T$4:$T$269)</f>
        <v>35.6</v>
      </c>
      <c r="AS52" s="249" cm="1">
        <f t="array" ref="AS52">SUMPRODUCT(
  ('Regional allocations LIVE'!$H$4:$H$269=$O52) *
  ('Regional allocations LIVE'!$D$4:$D$269&lt;AT$4) *
  (ISNUMBER('Regional allocations LIVE'!$D$4:$D$269)) *
  (('Regional allocations LIVE'!$R$4:$R$269="") + ('Regional allocations LIVE'!$R$4:$R$269&gt;=AT$4)) *
  'Regional allocations LIVE'!$T$4:$T$269)</f>
        <v>35.6</v>
      </c>
      <c r="AT52" s="249" cm="1">
        <f t="array" ref="AT52">SUMPRODUCT(
  ('Regional allocations LIVE'!$H$4:$H$269=$O52) *
  ('Regional allocations LIVE'!$D$4:$D$269&lt;AU$4) *
  (ISNUMBER('Regional allocations LIVE'!$D$4:$D$269)) *
  (('Regional allocations LIVE'!$R$4:$R$269="") + ('Regional allocations LIVE'!$R$4:$R$269&gt;=AU$4)) *
  'Regional allocations LIVE'!$T$4:$T$269)</f>
        <v>35.6</v>
      </c>
      <c r="AU52" s="249" cm="1">
        <f t="array" ref="AU52">SUMPRODUCT(
  ('Regional allocations LIVE'!$H$4:$H$269=$O52) *
  ('Regional allocations LIVE'!$D$4:$D$269&lt;AV$4) *
  (ISNUMBER('Regional allocations LIVE'!$D$4:$D$269)) *
  (('Regional allocations LIVE'!$R$4:$R$269="") + ('Regional allocations LIVE'!$R$4:$R$269&gt;=AV$4)) *
  'Regional allocations LIVE'!$T$4:$T$269)</f>
        <v>35.6</v>
      </c>
      <c r="AV52" s="249" cm="1">
        <f t="array" ref="AV52">SUMPRODUCT(
  ('Regional allocations LIVE'!$H$4:$H$269=$O52) *
  ('Regional allocations LIVE'!$D$4:$D$269&lt;AW$4) *
  (ISNUMBER('Regional allocations LIVE'!$D$4:$D$269)) *
  (('Regional allocations LIVE'!$R$4:$R$269="") + ('Regional allocations LIVE'!$R$4:$R$269&gt;=AW$4)) *
  'Regional allocations LIVE'!$T$4:$T$269)</f>
        <v>35.6</v>
      </c>
      <c r="AW52" s="249" cm="1">
        <f t="array" ref="AW52">SUMPRODUCT(
  ('Regional allocations LIVE'!$H$4:$H$269=$O52) *
  ('Regional allocations LIVE'!$D$4:$D$269&lt;AX$4) *
  (ISNUMBER('Regional allocations LIVE'!$D$4:$D$269)) *
  (('Regional allocations LIVE'!$R$4:$R$269="") + ('Regional allocations LIVE'!$R$4:$R$269&gt;=AX$4)) *
  'Regional allocations LIVE'!$T$4:$T$269)</f>
        <v>35.6</v>
      </c>
      <c r="AX52" s="249" cm="1">
        <f t="array" ref="AX52">SUMPRODUCT(
  ('Regional allocations LIVE'!$H$4:$H$269=$O52) *
  ('Regional allocations LIVE'!$D$4:$D$269&lt;AY$4) *
  (ISNUMBER('Regional allocations LIVE'!$D$4:$D$269)) *
  (('Regional allocations LIVE'!$R$4:$R$269="") + ('Regional allocations LIVE'!$R$4:$R$269&gt;=AY$4)) *
  'Regional allocations LIVE'!$T$4:$T$269)</f>
        <v>35.6</v>
      </c>
      <c r="AY52" s="249" cm="1">
        <f t="array" ref="AY52">SUMPRODUCT(
  ('Regional allocations LIVE'!$H$4:$H$269=$O52) *
  ('Regional allocations LIVE'!$D$4:$D$269&lt;AZ$4) *
  (ISNUMBER('Regional allocations LIVE'!$D$4:$D$269)) *
  (('Regional allocations LIVE'!$R$4:$R$269="") + ('Regional allocations LIVE'!$R$4:$R$269&gt;=AZ$4)) *
  'Regional allocations LIVE'!$T$4:$T$269)</f>
        <v>35.6</v>
      </c>
      <c r="AZ52" s="249" cm="1">
        <f t="array" ref="AZ52">SUMPRODUCT(
  ('Regional allocations LIVE'!$H$4:$H$269=$O52) *
  ('Regional allocations LIVE'!$D$4:$D$269&lt;BA$4) *
  (ISNUMBER('Regional allocations LIVE'!$D$4:$D$269)) *
  (('Regional allocations LIVE'!$R$4:$R$269="") + ('Regional allocations LIVE'!$R$4:$R$269&gt;=BA$4)) *
  'Regional allocations LIVE'!$T$4:$T$269)</f>
        <v>35.6</v>
      </c>
      <c r="BA52" s="249" cm="1">
        <f t="array" ref="BA52">SUMPRODUCT(
  ('Regional allocations LIVE'!$H$4:$H$269=$O52) *
  ('Regional allocations LIVE'!$D$4:$D$269&lt;BB$4) *
  (ISNUMBER('Regional allocations LIVE'!$D$4:$D$269)) *
  (('Regional allocations LIVE'!$R$4:$R$269="") + ('Regional allocations LIVE'!$R$4:$R$269&gt;=BB$4)) *
  'Regional allocations LIVE'!$T$4:$T$269)</f>
        <v>35.6</v>
      </c>
      <c r="BB52" s="249" cm="1">
        <f t="array" ref="BB52">SUMPRODUCT(
  ('Regional allocations LIVE'!$H$4:$H$269=$O52) *
  ('Regional allocations LIVE'!$D$4:$D$269&lt;BC$4) *
  (ISNUMBER('Regional allocations LIVE'!$D$4:$D$269)) *
  (('Regional allocations LIVE'!$R$4:$R$269="") + ('Regional allocations LIVE'!$R$4:$R$269&gt;=BC$4)) *
  'Regional allocations LIVE'!$T$4:$T$269)</f>
        <v>35.6</v>
      </c>
      <c r="BC52" s="249" cm="1">
        <f t="array" ref="BC52">SUMPRODUCT(
  ('Regional allocations LIVE'!$H$4:$H$269=$O52) *
  ('Regional allocations LIVE'!$D$4:$D$269&lt;BD$4) *
  (ISNUMBER('Regional allocations LIVE'!$D$4:$D$269)) *
  (('Regional allocations LIVE'!$R$4:$R$269="") + ('Regional allocations LIVE'!$R$4:$R$269&gt;=BD$4)) *
  'Regional allocations LIVE'!$T$4:$T$269)</f>
        <v>35.6</v>
      </c>
      <c r="BD52" s="249" cm="1">
        <f t="array" ref="BD52">SUMPRODUCT(
  ('Regional allocations LIVE'!$H$4:$H$269=$O52) *
  ('Regional allocations LIVE'!$D$4:$D$269&lt;BE$4) *
  (ISNUMBER('Regional allocations LIVE'!$D$4:$D$269)) *
  (('Regional allocations LIVE'!$R$4:$R$269="") + ('Regional allocations LIVE'!$R$4:$R$269&gt;=BE$4)) *
  'Regional allocations LIVE'!$T$4:$T$269)</f>
        <v>35.6</v>
      </c>
    </row>
    <row r="53" spans="2:59" ht="12.6" x14ac:dyDescent="0.25">
      <c r="B53" s="159" t="s">
        <v>105</v>
      </c>
      <c r="C53">
        <v>7</v>
      </c>
      <c r="D53">
        <v>9</v>
      </c>
      <c r="E53">
        <v>140</v>
      </c>
      <c r="F53">
        <v>10</v>
      </c>
      <c r="G53">
        <v>8</v>
      </c>
      <c r="H53">
        <v>174</v>
      </c>
      <c r="O53" s="119" t="s">
        <v>55</v>
      </c>
      <c r="Q53" s="152" t="s">
        <v>55</v>
      </c>
      <c r="R53" s="155"/>
      <c r="S53" s="155"/>
      <c r="T53" s="155"/>
      <c r="U53" s="247"/>
      <c r="V53" s="155"/>
      <c r="W53" s="171"/>
      <c r="X53" s="155"/>
      <c r="Y53" s="155"/>
      <c r="Z53" s="155"/>
      <c r="AA53" s="155"/>
      <c r="AB53" s="155"/>
      <c r="AC53" s="155"/>
      <c r="AD53" s="155"/>
      <c r="AE53" s="182"/>
      <c r="AF53" s="182"/>
      <c r="AG53" s="250" cm="1">
        <f t="array" ref="AG53">SUMPRODUCT(
  ('Regional allocations LIVE'!$H$4:$H$269=$O53) *
  ('Regional allocations LIVE'!$D$4:$D$269&lt;AH$4) *
  (ISNUMBER('Regional allocations LIVE'!$D$4:$D$269)) *
  (('Regional allocations LIVE'!$R$4:$R$269="") + ('Regional allocations LIVE'!$R$4:$R$269&gt;=AH$4)) *
  'Regional allocations LIVE'!$T$4:$T$269)</f>
        <v>4.33</v>
      </c>
      <c r="AH53" s="250" cm="1">
        <f t="array" ref="AH53">SUMPRODUCT(
  ('Regional allocations LIVE'!$H$4:$H$269=$O53) *
  ('Regional allocations LIVE'!$D$4:$D$269&lt;AI$4) *
  (ISNUMBER('Regional allocations LIVE'!$D$4:$D$269)) *
  (('Regional allocations LIVE'!$R$4:$R$269="") + ('Regional allocations LIVE'!$R$4:$R$269&gt;=AI$4)) *
  'Regional allocations LIVE'!$T$4:$T$269)</f>
        <v>4.33</v>
      </c>
      <c r="AI53" s="249" cm="1">
        <f t="array" ref="AI53">SUMPRODUCT(
  ('Regional allocations LIVE'!$H$4:$H$269=$O53) *
  ('Regional allocations LIVE'!$D$4:$D$269&lt;AJ$4) *
  (ISNUMBER('Regional allocations LIVE'!$D$4:$D$269)) *
  (('Regional allocations LIVE'!$R$4:$R$269="") + ('Regional allocations LIVE'!$R$4:$R$269&gt;=AJ$4)) *
  'Regional allocations LIVE'!$T$4:$T$269)</f>
        <v>4.33</v>
      </c>
      <c r="AJ53" s="249" cm="1">
        <f t="array" ref="AJ53">SUMPRODUCT(
  ('Regional allocations LIVE'!$H$4:$H$269=$O53) *
  ('Regional allocations LIVE'!$D$4:$D$269&lt;AK$4) *
  (ISNUMBER('Regional allocations LIVE'!$D$4:$D$269)) *
  (('Regional allocations LIVE'!$R$4:$R$269="") + ('Regional allocations LIVE'!$R$4:$R$269&gt;=AK$4)) *
  'Regional allocations LIVE'!$T$4:$T$269)</f>
        <v>4.33</v>
      </c>
      <c r="AK53" s="276" cm="1">
        <f t="array" ref="AK53">SUMPRODUCT(
  ('Regional allocations LIVE'!$H$4:$H$269=$O53) *
  ('Regional allocations LIVE'!$D$4:$D$269&lt;AL$4) *
  (ISNUMBER('Regional allocations LIVE'!$D$4:$D$269)) *
  (('Regional allocations LIVE'!$R$4:$R$269="") + ('Regional allocations LIVE'!$R$4:$R$269&gt;=AL$4)) *
  'Regional allocations LIVE'!$T$4:$T$269)</f>
        <v>4.33</v>
      </c>
      <c r="AL53" s="249" cm="1">
        <f t="array" ref="AL53">SUMPRODUCT(
  ('Regional allocations LIVE'!$H$4:$H$269=$O53) *
  ('Regional allocations LIVE'!$D$4:$D$269&lt;AM$4) *
  (ISNUMBER('Regional allocations LIVE'!$D$4:$D$269)) *
  (('Regional allocations LIVE'!$R$4:$R$269="") + ('Regional allocations LIVE'!$R$4:$R$269&gt;=AM$4)) *
  'Regional allocations LIVE'!$T$4:$T$269)</f>
        <v>4.33</v>
      </c>
      <c r="AM53" s="249" cm="1">
        <f t="array" ref="AM53">SUMPRODUCT(
  ('Regional allocations LIVE'!$H$4:$H$269=$O53) *
  ('Regional allocations LIVE'!$D$4:$D$269&lt;AN$4) *
  (ISNUMBER('Regional allocations LIVE'!$D$4:$D$269)) *
  (('Regional allocations LIVE'!$R$4:$R$269="") + ('Regional allocations LIVE'!$R$4:$R$269&gt;=AN$4)) *
  'Regional allocations LIVE'!$T$4:$T$269)</f>
        <v>4.33</v>
      </c>
      <c r="AN53" s="249" cm="1">
        <f t="array" ref="AN53">SUMPRODUCT(
  ('Regional allocations LIVE'!$H$4:$H$269=$O53) *
  ('Regional allocations LIVE'!$D$4:$D$269&lt;AO$4) *
  (ISNUMBER('Regional allocations LIVE'!$D$4:$D$269)) *
  (('Regional allocations LIVE'!$R$4:$R$269="") + ('Regional allocations LIVE'!$R$4:$R$269&gt;=AO$4)) *
  'Regional allocations LIVE'!$T$4:$T$269)</f>
        <v>4.33</v>
      </c>
      <c r="AO53" s="249" cm="1">
        <f t="array" ref="AO53">SUMPRODUCT(
  ('Regional allocations LIVE'!$H$4:$H$269=$O53) *
  ('Regional allocations LIVE'!$D$4:$D$269&lt;AP$4) *
  (ISNUMBER('Regional allocations LIVE'!$D$4:$D$269)) *
  (('Regional allocations LIVE'!$R$4:$R$269="") + ('Regional allocations LIVE'!$R$4:$R$269&gt;=AP$4)) *
  'Regional allocations LIVE'!$T$4:$T$269)</f>
        <v>4.33</v>
      </c>
      <c r="AP53" s="249" cm="1">
        <f t="array" ref="AP53">SUMPRODUCT(
  ('Regional allocations LIVE'!$H$4:$H$269=$O53) *
  ('Regional allocations LIVE'!$D$4:$D$269&lt;AQ$4) *
  (ISNUMBER('Regional allocations LIVE'!$D$4:$D$269)) *
  (('Regional allocations LIVE'!$R$4:$R$269="") + ('Regional allocations LIVE'!$R$4:$R$269&gt;=AQ$4)) *
  'Regional allocations LIVE'!$T$4:$T$269)</f>
        <v>4.33</v>
      </c>
      <c r="AQ53" s="249" cm="1">
        <f t="array" ref="AQ53">SUMPRODUCT(
  ('Regional allocations LIVE'!$H$4:$H$269=$O53) *
  ('Regional allocations LIVE'!$D$4:$D$269&lt;AR$4) *
  (ISNUMBER('Regional allocations LIVE'!$D$4:$D$269)) *
  (('Regional allocations LIVE'!$R$4:$R$269="") + ('Regional allocations LIVE'!$R$4:$R$269&gt;=AR$4)) *
  'Regional allocations LIVE'!$T$4:$T$269)</f>
        <v>4.33</v>
      </c>
      <c r="AR53" s="249" cm="1">
        <f t="array" ref="AR53">SUMPRODUCT(
  ('Regional allocations LIVE'!$H$4:$H$269=$O53) *
  ('Regional allocations LIVE'!$D$4:$D$269&lt;AS$4) *
  (ISNUMBER('Regional allocations LIVE'!$D$4:$D$269)) *
  (('Regional allocations LIVE'!$R$4:$R$269="") + ('Regional allocations LIVE'!$R$4:$R$269&gt;=AS$4)) *
  'Regional allocations LIVE'!$T$4:$T$269)</f>
        <v>4.33</v>
      </c>
      <c r="AS53" s="249" cm="1">
        <f t="array" ref="AS53">SUMPRODUCT(
  ('Regional allocations LIVE'!$H$4:$H$269=$O53) *
  ('Regional allocations LIVE'!$D$4:$D$269&lt;AT$4) *
  (ISNUMBER('Regional allocations LIVE'!$D$4:$D$269)) *
  (('Regional allocations LIVE'!$R$4:$R$269="") + ('Regional allocations LIVE'!$R$4:$R$269&gt;=AT$4)) *
  'Regional allocations LIVE'!$T$4:$T$269)</f>
        <v>4.33</v>
      </c>
      <c r="AT53" s="249" cm="1">
        <f t="array" ref="AT53">SUMPRODUCT(
  ('Regional allocations LIVE'!$H$4:$H$269=$O53) *
  ('Regional allocations LIVE'!$D$4:$D$269&lt;AU$4) *
  (ISNUMBER('Regional allocations LIVE'!$D$4:$D$269)) *
  (('Regional allocations LIVE'!$R$4:$R$269="") + ('Regional allocations LIVE'!$R$4:$R$269&gt;=AU$4)) *
  'Regional allocations LIVE'!$T$4:$T$269)</f>
        <v>4.33</v>
      </c>
      <c r="AU53" s="249" cm="1">
        <f t="array" ref="AU53">SUMPRODUCT(
  ('Regional allocations LIVE'!$H$4:$H$269=$O53) *
  ('Regional allocations LIVE'!$D$4:$D$269&lt;AV$4) *
  (ISNUMBER('Regional allocations LIVE'!$D$4:$D$269)) *
  (('Regional allocations LIVE'!$R$4:$R$269="") + ('Regional allocations LIVE'!$R$4:$R$269&gt;=AV$4)) *
  'Regional allocations LIVE'!$T$4:$T$269)</f>
        <v>4.33</v>
      </c>
      <c r="AV53" s="249" cm="1">
        <f t="array" ref="AV53">SUMPRODUCT(
  ('Regional allocations LIVE'!$H$4:$H$269=$O53) *
  ('Regional allocations LIVE'!$D$4:$D$269&lt;AW$4) *
  (ISNUMBER('Regional allocations LIVE'!$D$4:$D$269)) *
  (('Regional allocations LIVE'!$R$4:$R$269="") + ('Regional allocations LIVE'!$R$4:$R$269&gt;=AW$4)) *
  'Regional allocations LIVE'!$T$4:$T$269)</f>
        <v>4.33</v>
      </c>
      <c r="AW53" s="249" cm="1">
        <f t="array" ref="AW53">SUMPRODUCT(
  ('Regional allocations LIVE'!$H$4:$H$269=$O53) *
  ('Regional allocations LIVE'!$D$4:$D$269&lt;AX$4) *
  (ISNUMBER('Regional allocations LIVE'!$D$4:$D$269)) *
  (('Regional allocations LIVE'!$R$4:$R$269="") + ('Regional allocations LIVE'!$R$4:$R$269&gt;=AX$4)) *
  'Regional allocations LIVE'!$T$4:$T$269)</f>
        <v>4.33</v>
      </c>
      <c r="AX53" s="249" cm="1">
        <f t="array" ref="AX53">SUMPRODUCT(
  ('Regional allocations LIVE'!$H$4:$H$269=$O53) *
  ('Regional allocations LIVE'!$D$4:$D$269&lt;AY$4) *
  (ISNUMBER('Regional allocations LIVE'!$D$4:$D$269)) *
  (('Regional allocations LIVE'!$R$4:$R$269="") + ('Regional allocations LIVE'!$R$4:$R$269&gt;=AY$4)) *
  'Regional allocations LIVE'!$T$4:$T$269)</f>
        <v>4.33</v>
      </c>
      <c r="AY53" s="249" cm="1">
        <f t="array" ref="AY53">SUMPRODUCT(
  ('Regional allocations LIVE'!$H$4:$H$269=$O53) *
  ('Regional allocations LIVE'!$D$4:$D$269&lt;AZ$4) *
  (ISNUMBER('Regional allocations LIVE'!$D$4:$D$269)) *
  (('Regional allocations LIVE'!$R$4:$R$269="") + ('Regional allocations LIVE'!$R$4:$R$269&gt;=AZ$4)) *
  'Regional allocations LIVE'!$T$4:$T$269)</f>
        <v>4.33</v>
      </c>
      <c r="AZ53" s="249" cm="1">
        <f t="array" ref="AZ53">SUMPRODUCT(
  ('Regional allocations LIVE'!$H$4:$H$269=$O53) *
  ('Regional allocations LIVE'!$D$4:$D$269&lt;BA$4) *
  (ISNUMBER('Regional allocations LIVE'!$D$4:$D$269)) *
  (('Regional allocations LIVE'!$R$4:$R$269="") + ('Regional allocations LIVE'!$R$4:$R$269&gt;=BA$4)) *
  'Regional allocations LIVE'!$T$4:$T$269)</f>
        <v>4.33</v>
      </c>
      <c r="BA53" s="249" cm="1">
        <f t="array" ref="BA53">SUMPRODUCT(
  ('Regional allocations LIVE'!$H$4:$H$269=$O53) *
  ('Regional allocations LIVE'!$D$4:$D$269&lt;BB$4) *
  (ISNUMBER('Regional allocations LIVE'!$D$4:$D$269)) *
  (('Regional allocations LIVE'!$R$4:$R$269="") + ('Regional allocations LIVE'!$R$4:$R$269&gt;=BB$4)) *
  'Regional allocations LIVE'!$T$4:$T$269)</f>
        <v>4.33</v>
      </c>
      <c r="BB53" s="249" cm="1">
        <f t="array" ref="BB53">SUMPRODUCT(
  ('Regional allocations LIVE'!$H$4:$H$269=$O53) *
  ('Regional allocations LIVE'!$D$4:$D$269&lt;BC$4) *
  (ISNUMBER('Regional allocations LIVE'!$D$4:$D$269)) *
  (('Regional allocations LIVE'!$R$4:$R$269="") + ('Regional allocations LIVE'!$R$4:$R$269&gt;=BC$4)) *
  'Regional allocations LIVE'!$T$4:$T$269)</f>
        <v>4.33</v>
      </c>
      <c r="BC53" s="249" cm="1">
        <f t="array" ref="BC53">SUMPRODUCT(
  ('Regional allocations LIVE'!$H$4:$H$269=$O53) *
  ('Regional allocations LIVE'!$D$4:$D$269&lt;BD$4) *
  (ISNUMBER('Regional allocations LIVE'!$D$4:$D$269)) *
  (('Regional allocations LIVE'!$R$4:$R$269="") + ('Regional allocations LIVE'!$R$4:$R$269&gt;=BD$4)) *
  'Regional allocations LIVE'!$T$4:$T$269)</f>
        <v>4.33</v>
      </c>
      <c r="BD53" s="249" cm="1">
        <f t="array" ref="BD53">SUMPRODUCT(
  ('Regional allocations LIVE'!$H$4:$H$269=$O53) *
  ('Regional allocations LIVE'!$D$4:$D$269&lt;BE$4) *
  (ISNUMBER('Regional allocations LIVE'!$D$4:$D$269)) *
  (('Regional allocations LIVE'!$R$4:$R$269="") + ('Regional allocations LIVE'!$R$4:$R$269&gt;=BE$4)) *
  'Regional allocations LIVE'!$T$4:$T$269)</f>
        <v>4.33</v>
      </c>
    </row>
    <row r="54" spans="2:59" ht="12.6" x14ac:dyDescent="0.25">
      <c r="B54"/>
      <c r="C54"/>
      <c r="D54"/>
      <c r="O54" s="119" t="s">
        <v>56</v>
      </c>
      <c r="Q54" s="152" t="s">
        <v>56</v>
      </c>
      <c r="R54" s="155"/>
      <c r="S54" s="155"/>
      <c r="T54" s="155"/>
      <c r="U54" s="247"/>
      <c r="V54" s="155"/>
      <c r="W54" s="171"/>
      <c r="X54" s="155"/>
      <c r="Y54" s="155"/>
      <c r="Z54" s="155"/>
      <c r="AA54" s="155"/>
      <c r="AB54" s="155"/>
      <c r="AC54" s="155"/>
      <c r="AD54" s="155"/>
      <c r="AE54" s="182"/>
      <c r="AF54" s="182"/>
      <c r="AG54" s="250" cm="1">
        <f t="array" ref="AG54">SUMPRODUCT(
  ('Regional allocations LIVE'!$H$4:$H$269=$O54) *
  ('Regional allocations LIVE'!$D$4:$D$269&lt;AH$4) *
  (ISNUMBER('Regional allocations LIVE'!$D$4:$D$269)) *
  (('Regional allocations LIVE'!$R$4:$R$269="") + ('Regional allocations LIVE'!$R$4:$R$269&gt;=AH$4)) *
  'Regional allocations LIVE'!$T$4:$T$269)</f>
        <v>14.5</v>
      </c>
      <c r="AH54" s="250" cm="1">
        <f t="array" ref="AH54">SUMPRODUCT(
  ('Regional allocations LIVE'!$H$4:$H$269=$O54) *
  ('Regional allocations LIVE'!$D$4:$D$269&lt;AI$4) *
  (ISNUMBER('Regional allocations LIVE'!$D$4:$D$269)) *
  (('Regional allocations LIVE'!$R$4:$R$269="") + ('Regional allocations LIVE'!$R$4:$R$269&gt;=AI$4)) *
  'Regional allocations LIVE'!$T$4:$T$269)</f>
        <v>14.5</v>
      </c>
      <c r="AI54" s="249" cm="1">
        <f t="array" ref="AI54">SUMPRODUCT(
  ('Regional allocations LIVE'!$H$4:$H$269=$O54) *
  ('Regional allocations LIVE'!$D$4:$D$269&lt;AJ$4) *
  (ISNUMBER('Regional allocations LIVE'!$D$4:$D$269)) *
  (('Regional allocations LIVE'!$R$4:$R$269="") + ('Regional allocations LIVE'!$R$4:$R$269&gt;=AJ$4)) *
  'Regional allocations LIVE'!$T$4:$T$269)</f>
        <v>15.5</v>
      </c>
      <c r="AJ54" s="249" cm="1">
        <f t="array" ref="AJ54">SUMPRODUCT(
  ('Regional allocations LIVE'!$H$4:$H$269=$O54) *
  ('Regional allocations LIVE'!$D$4:$D$269&lt;AK$4) *
  (ISNUMBER('Regional allocations LIVE'!$D$4:$D$269)) *
  (('Regional allocations LIVE'!$R$4:$R$269="") + ('Regional allocations LIVE'!$R$4:$R$269&gt;=AK$4)) *
  'Regional allocations LIVE'!$T$4:$T$269)</f>
        <v>15.5</v>
      </c>
      <c r="AK54" s="276" cm="1">
        <f t="array" ref="AK54">SUMPRODUCT(
  ('Regional allocations LIVE'!$H$4:$H$269=$O54) *
  ('Regional allocations LIVE'!$D$4:$D$269&lt;AL$4) *
  (ISNUMBER('Regional allocations LIVE'!$D$4:$D$269)) *
  (('Regional allocations LIVE'!$R$4:$R$269="") + ('Regional allocations LIVE'!$R$4:$R$269&gt;=AL$4)) *
  'Regional allocations LIVE'!$T$4:$T$269)</f>
        <v>15.5</v>
      </c>
      <c r="AL54" s="249" cm="1">
        <f t="array" ref="AL54">SUMPRODUCT(
  ('Regional allocations LIVE'!$H$4:$H$269=$O54) *
  ('Regional allocations LIVE'!$D$4:$D$269&lt;AM$4) *
  (ISNUMBER('Regional allocations LIVE'!$D$4:$D$269)) *
  (('Regional allocations LIVE'!$R$4:$R$269="") + ('Regional allocations LIVE'!$R$4:$R$269&gt;=AM$4)) *
  'Regional allocations LIVE'!$T$4:$T$269)</f>
        <v>15.5</v>
      </c>
      <c r="AM54" s="249" cm="1">
        <f t="array" ref="AM54">SUMPRODUCT(
  ('Regional allocations LIVE'!$H$4:$H$269=$O54) *
  ('Regional allocations LIVE'!$D$4:$D$269&lt;AN$4) *
  (ISNUMBER('Regional allocations LIVE'!$D$4:$D$269)) *
  (('Regional allocations LIVE'!$R$4:$R$269="") + ('Regional allocations LIVE'!$R$4:$R$269&gt;=AN$4)) *
  'Regional allocations LIVE'!$T$4:$T$269)</f>
        <v>15.5</v>
      </c>
      <c r="AN54" s="249" cm="1">
        <f t="array" ref="AN54">SUMPRODUCT(
  ('Regional allocations LIVE'!$H$4:$H$269=$O54) *
  ('Regional allocations LIVE'!$D$4:$D$269&lt;AO$4) *
  (ISNUMBER('Regional allocations LIVE'!$D$4:$D$269)) *
  (('Regional allocations LIVE'!$R$4:$R$269="") + ('Regional allocations LIVE'!$R$4:$R$269&gt;=AO$4)) *
  'Regional allocations LIVE'!$T$4:$T$269)</f>
        <v>15.5</v>
      </c>
      <c r="AO54" s="249" cm="1">
        <f t="array" ref="AO54">SUMPRODUCT(
  ('Regional allocations LIVE'!$H$4:$H$269=$O54) *
  ('Regional allocations LIVE'!$D$4:$D$269&lt;AP$4) *
  (ISNUMBER('Regional allocations LIVE'!$D$4:$D$269)) *
  (('Regional allocations LIVE'!$R$4:$R$269="") + ('Regional allocations LIVE'!$R$4:$R$269&gt;=AP$4)) *
  'Regional allocations LIVE'!$T$4:$T$269)</f>
        <v>15.5</v>
      </c>
      <c r="AP54" s="249" cm="1">
        <f t="array" ref="AP54">SUMPRODUCT(
  ('Regional allocations LIVE'!$H$4:$H$269=$O54) *
  ('Regional allocations LIVE'!$D$4:$D$269&lt;AQ$4) *
  (ISNUMBER('Regional allocations LIVE'!$D$4:$D$269)) *
  (('Regional allocations LIVE'!$R$4:$R$269="") + ('Regional allocations LIVE'!$R$4:$R$269&gt;=AQ$4)) *
  'Regional allocations LIVE'!$T$4:$T$269)</f>
        <v>15.5</v>
      </c>
      <c r="AQ54" s="249" cm="1">
        <f t="array" ref="AQ54">SUMPRODUCT(
  ('Regional allocations LIVE'!$H$4:$H$269=$O54) *
  ('Regional allocations LIVE'!$D$4:$D$269&lt;AR$4) *
  (ISNUMBER('Regional allocations LIVE'!$D$4:$D$269)) *
  (('Regional allocations LIVE'!$R$4:$R$269="") + ('Regional allocations LIVE'!$R$4:$R$269&gt;=AR$4)) *
  'Regional allocations LIVE'!$T$4:$T$269)</f>
        <v>15.5</v>
      </c>
      <c r="AR54" s="249" cm="1">
        <f t="array" ref="AR54">SUMPRODUCT(
  ('Regional allocations LIVE'!$H$4:$H$269=$O54) *
  ('Regional allocations LIVE'!$D$4:$D$269&lt;AS$4) *
  (ISNUMBER('Regional allocations LIVE'!$D$4:$D$269)) *
  (('Regional allocations LIVE'!$R$4:$R$269="") + ('Regional allocations LIVE'!$R$4:$R$269&gt;=AS$4)) *
  'Regional allocations LIVE'!$T$4:$T$269)</f>
        <v>15.5</v>
      </c>
      <c r="AS54" s="249" cm="1">
        <f t="array" ref="AS54">SUMPRODUCT(
  ('Regional allocations LIVE'!$H$4:$H$269=$O54) *
  ('Regional allocations LIVE'!$D$4:$D$269&lt;AT$4) *
  (ISNUMBER('Regional allocations LIVE'!$D$4:$D$269)) *
  (('Regional allocations LIVE'!$R$4:$R$269="") + ('Regional allocations LIVE'!$R$4:$R$269&gt;=AT$4)) *
  'Regional allocations LIVE'!$T$4:$T$269)</f>
        <v>15.5</v>
      </c>
      <c r="AT54" s="249" cm="1">
        <f t="array" ref="AT54">SUMPRODUCT(
  ('Regional allocations LIVE'!$H$4:$H$269=$O54) *
  ('Regional allocations LIVE'!$D$4:$D$269&lt;AU$4) *
  (ISNUMBER('Regional allocations LIVE'!$D$4:$D$269)) *
  (('Regional allocations LIVE'!$R$4:$R$269="") + ('Regional allocations LIVE'!$R$4:$R$269&gt;=AU$4)) *
  'Regional allocations LIVE'!$T$4:$T$269)</f>
        <v>15.5</v>
      </c>
      <c r="AU54" s="249" cm="1">
        <f t="array" ref="AU54">SUMPRODUCT(
  ('Regional allocations LIVE'!$H$4:$H$269=$O54) *
  ('Regional allocations LIVE'!$D$4:$D$269&lt;AV$4) *
  (ISNUMBER('Regional allocations LIVE'!$D$4:$D$269)) *
  (('Regional allocations LIVE'!$R$4:$R$269="") + ('Regional allocations LIVE'!$R$4:$R$269&gt;=AV$4)) *
  'Regional allocations LIVE'!$T$4:$T$269)</f>
        <v>15.5</v>
      </c>
      <c r="AV54" s="249" cm="1">
        <f t="array" ref="AV54">SUMPRODUCT(
  ('Regional allocations LIVE'!$H$4:$H$269=$O54) *
  ('Regional allocations LIVE'!$D$4:$D$269&lt;AW$4) *
  (ISNUMBER('Regional allocations LIVE'!$D$4:$D$269)) *
  (('Regional allocations LIVE'!$R$4:$R$269="") + ('Regional allocations LIVE'!$R$4:$R$269&gt;=AW$4)) *
  'Regional allocations LIVE'!$T$4:$T$269)</f>
        <v>15.5</v>
      </c>
      <c r="AW54" s="249" cm="1">
        <f t="array" ref="AW54">SUMPRODUCT(
  ('Regional allocations LIVE'!$H$4:$H$269=$O54) *
  ('Regional allocations LIVE'!$D$4:$D$269&lt;AX$4) *
  (ISNUMBER('Regional allocations LIVE'!$D$4:$D$269)) *
  (('Regional allocations LIVE'!$R$4:$R$269="") + ('Regional allocations LIVE'!$R$4:$R$269&gt;=AX$4)) *
  'Regional allocations LIVE'!$T$4:$T$269)</f>
        <v>15.5</v>
      </c>
      <c r="AX54" s="249" cm="1">
        <f t="array" ref="AX54">SUMPRODUCT(
  ('Regional allocations LIVE'!$H$4:$H$269=$O54) *
  ('Regional allocations LIVE'!$D$4:$D$269&lt;AY$4) *
  (ISNUMBER('Regional allocations LIVE'!$D$4:$D$269)) *
  (('Regional allocations LIVE'!$R$4:$R$269="") + ('Regional allocations LIVE'!$R$4:$R$269&gt;=AY$4)) *
  'Regional allocations LIVE'!$T$4:$T$269)</f>
        <v>15.5</v>
      </c>
      <c r="AY54" s="249" cm="1">
        <f t="array" ref="AY54">SUMPRODUCT(
  ('Regional allocations LIVE'!$H$4:$H$269=$O54) *
  ('Regional allocations LIVE'!$D$4:$D$269&lt;AZ$4) *
  (ISNUMBER('Regional allocations LIVE'!$D$4:$D$269)) *
  (('Regional allocations LIVE'!$R$4:$R$269="") + ('Regional allocations LIVE'!$R$4:$R$269&gt;=AZ$4)) *
  'Regional allocations LIVE'!$T$4:$T$269)</f>
        <v>15.5</v>
      </c>
      <c r="AZ54" s="249" cm="1">
        <f t="array" ref="AZ54">SUMPRODUCT(
  ('Regional allocations LIVE'!$H$4:$H$269=$O54) *
  ('Regional allocations LIVE'!$D$4:$D$269&lt;BA$4) *
  (ISNUMBER('Regional allocations LIVE'!$D$4:$D$269)) *
  (('Regional allocations LIVE'!$R$4:$R$269="") + ('Regional allocations LIVE'!$R$4:$R$269&gt;=BA$4)) *
  'Regional allocations LIVE'!$T$4:$T$269)</f>
        <v>15.5</v>
      </c>
      <c r="BA54" s="249" cm="1">
        <f t="array" ref="BA54">SUMPRODUCT(
  ('Regional allocations LIVE'!$H$4:$H$269=$O54) *
  ('Regional allocations LIVE'!$D$4:$D$269&lt;BB$4) *
  (ISNUMBER('Regional allocations LIVE'!$D$4:$D$269)) *
  (('Regional allocations LIVE'!$R$4:$R$269="") + ('Regional allocations LIVE'!$R$4:$R$269&gt;=BB$4)) *
  'Regional allocations LIVE'!$T$4:$T$269)</f>
        <v>15.5</v>
      </c>
      <c r="BB54" s="249" cm="1">
        <f t="array" ref="BB54">SUMPRODUCT(
  ('Regional allocations LIVE'!$H$4:$H$269=$O54) *
  ('Regional allocations LIVE'!$D$4:$D$269&lt;BC$4) *
  (ISNUMBER('Regional allocations LIVE'!$D$4:$D$269)) *
  (('Regional allocations LIVE'!$R$4:$R$269="") + ('Regional allocations LIVE'!$R$4:$R$269&gt;=BC$4)) *
  'Regional allocations LIVE'!$T$4:$T$269)</f>
        <v>15.5</v>
      </c>
      <c r="BC54" s="249" cm="1">
        <f t="array" ref="BC54">SUMPRODUCT(
  ('Regional allocations LIVE'!$H$4:$H$269=$O54) *
  ('Regional allocations LIVE'!$D$4:$D$269&lt;BD$4) *
  (ISNUMBER('Regional allocations LIVE'!$D$4:$D$269)) *
  (('Regional allocations LIVE'!$R$4:$R$269="") + ('Regional allocations LIVE'!$R$4:$R$269&gt;=BD$4)) *
  'Regional allocations LIVE'!$T$4:$T$269)</f>
        <v>15.5</v>
      </c>
      <c r="BD54" s="249" cm="1">
        <f t="array" ref="BD54">SUMPRODUCT(
  ('Regional allocations LIVE'!$H$4:$H$269=$O54) *
  ('Regional allocations LIVE'!$D$4:$D$269&lt;BE$4) *
  (ISNUMBER('Regional allocations LIVE'!$D$4:$D$269)) *
  (('Regional allocations LIVE'!$R$4:$R$269="") + ('Regional allocations LIVE'!$R$4:$R$269&gt;=BE$4)) *
  'Regional allocations LIVE'!$T$4:$T$269)</f>
        <v>15.5</v>
      </c>
    </row>
    <row r="55" spans="2:59" ht="12.6" x14ac:dyDescent="0.25">
      <c r="B55"/>
      <c r="C55"/>
      <c r="D55"/>
      <c r="O55" s="119" t="s">
        <v>57</v>
      </c>
      <c r="Q55" s="152" t="s">
        <v>57</v>
      </c>
      <c r="R55" s="155"/>
      <c r="S55" s="155"/>
      <c r="T55" s="155"/>
      <c r="U55" s="247"/>
      <c r="V55" s="155"/>
      <c r="W55" s="171"/>
      <c r="X55" s="155"/>
      <c r="Y55" s="155"/>
      <c r="Z55" s="155"/>
      <c r="AA55" s="155"/>
      <c r="AB55" s="155"/>
      <c r="AC55" s="155"/>
      <c r="AD55" s="155"/>
      <c r="AE55" s="182"/>
      <c r="AF55" s="182"/>
      <c r="AG55" s="250" cm="1">
        <f t="array" ref="AG55">SUMPRODUCT(
  ('Regional allocations LIVE'!$H$4:$H$269=$O55) *
  ('Regional allocations LIVE'!$D$4:$D$269&lt;AH$4) *
  (ISNUMBER('Regional allocations LIVE'!$D$4:$D$269)) *
  (('Regional allocations LIVE'!$R$4:$R$269="") + ('Regional allocations LIVE'!$R$4:$R$269&gt;=AH$4)) *
  'Regional allocations LIVE'!$T$4:$T$269)</f>
        <v>44.8</v>
      </c>
      <c r="AH55" s="250" cm="1">
        <f t="array" ref="AH55">SUMPRODUCT(
  ('Regional allocations LIVE'!$H$4:$H$269=$O55) *
  ('Regional allocations LIVE'!$D$4:$D$269&lt;AI$4) *
  (ISNUMBER('Regional allocations LIVE'!$D$4:$D$269)) *
  (('Regional allocations LIVE'!$R$4:$R$269="") + ('Regional allocations LIVE'!$R$4:$R$269&gt;=AI$4)) *
  'Regional allocations LIVE'!$T$4:$T$269)</f>
        <v>45.8</v>
      </c>
      <c r="AI55" s="249" cm="1">
        <f t="array" ref="AI55">SUMPRODUCT(
  ('Regional allocations LIVE'!$H$4:$H$269=$O55) *
  ('Regional allocations LIVE'!$D$4:$D$269&lt;AJ$4) *
  (ISNUMBER('Regional allocations LIVE'!$D$4:$D$269)) *
  (('Regional allocations LIVE'!$R$4:$R$269="") + ('Regional allocations LIVE'!$R$4:$R$269&gt;=AJ$4)) *
  'Regional allocations LIVE'!$T$4:$T$269)</f>
        <v>45.8</v>
      </c>
      <c r="AJ55" s="249" cm="1">
        <f t="array" ref="AJ55">SUMPRODUCT(
  ('Regional allocations LIVE'!$H$4:$H$269=$O55) *
  ('Regional allocations LIVE'!$D$4:$D$269&lt;AK$4) *
  (ISNUMBER('Regional allocations LIVE'!$D$4:$D$269)) *
  (('Regional allocations LIVE'!$R$4:$R$269="") + ('Regional allocations LIVE'!$R$4:$R$269&gt;=AK$4)) *
  'Regional allocations LIVE'!$T$4:$T$269)</f>
        <v>46.8</v>
      </c>
      <c r="AK55" s="276" cm="1">
        <f t="array" ref="AK55">SUMPRODUCT(
  ('Regional allocations LIVE'!$H$4:$H$269=$O55) *
  ('Regional allocations LIVE'!$D$4:$D$269&lt;AL$4) *
  (ISNUMBER('Regional allocations LIVE'!$D$4:$D$269)) *
  (('Regional allocations LIVE'!$R$4:$R$269="") + ('Regional allocations LIVE'!$R$4:$R$269&gt;=AL$4)) *
  'Regional allocations LIVE'!$T$4:$T$269)</f>
        <v>46.8</v>
      </c>
      <c r="AL55" s="249" cm="1">
        <f t="array" ref="AL55">SUMPRODUCT(
  ('Regional allocations LIVE'!$H$4:$H$269=$O55) *
  ('Regional allocations LIVE'!$D$4:$D$269&lt;AM$4) *
  (ISNUMBER('Regional allocations LIVE'!$D$4:$D$269)) *
  (('Regional allocations LIVE'!$R$4:$R$269="") + ('Regional allocations LIVE'!$R$4:$R$269&gt;=AM$4)) *
  'Regional allocations LIVE'!$T$4:$T$269)</f>
        <v>47.8</v>
      </c>
      <c r="AM55" s="249" cm="1">
        <f t="array" ref="AM55">SUMPRODUCT(
  ('Regional allocations LIVE'!$H$4:$H$269=$O55) *
  ('Regional allocations LIVE'!$D$4:$D$269&lt;AN$4) *
  (ISNUMBER('Regional allocations LIVE'!$D$4:$D$269)) *
  (('Regional allocations LIVE'!$R$4:$R$269="") + ('Regional allocations LIVE'!$R$4:$R$269&gt;=AN$4)) *
  'Regional allocations LIVE'!$T$4:$T$269)</f>
        <v>47.8</v>
      </c>
      <c r="AN55" s="249" cm="1">
        <f t="array" ref="AN55">SUMPRODUCT(
  ('Regional allocations LIVE'!$H$4:$H$269=$O55) *
  ('Regional allocations LIVE'!$D$4:$D$269&lt;AO$4) *
  (ISNUMBER('Regional allocations LIVE'!$D$4:$D$269)) *
  (('Regional allocations LIVE'!$R$4:$R$269="") + ('Regional allocations LIVE'!$R$4:$R$269&gt;=AO$4)) *
  'Regional allocations LIVE'!$T$4:$T$269)</f>
        <v>47.8</v>
      </c>
      <c r="AO55" s="249" cm="1">
        <f t="array" ref="AO55">SUMPRODUCT(
  ('Regional allocations LIVE'!$H$4:$H$269=$O55) *
  ('Regional allocations LIVE'!$D$4:$D$269&lt;AP$4) *
  (ISNUMBER('Regional allocations LIVE'!$D$4:$D$269)) *
  (('Regional allocations LIVE'!$R$4:$R$269="") + ('Regional allocations LIVE'!$R$4:$R$269&gt;=AP$4)) *
  'Regional allocations LIVE'!$T$4:$T$269)</f>
        <v>47.8</v>
      </c>
      <c r="AP55" s="249" cm="1">
        <f t="array" ref="AP55">SUMPRODUCT(
  ('Regional allocations LIVE'!$H$4:$H$269=$O55) *
  ('Regional allocations LIVE'!$D$4:$D$269&lt;AQ$4) *
  (ISNUMBER('Regional allocations LIVE'!$D$4:$D$269)) *
  (('Regional allocations LIVE'!$R$4:$R$269="") + ('Regional allocations LIVE'!$R$4:$R$269&gt;=AQ$4)) *
  'Regional allocations LIVE'!$T$4:$T$269)</f>
        <v>47.8</v>
      </c>
      <c r="AQ55" s="249" cm="1">
        <f t="array" ref="AQ55">SUMPRODUCT(
  ('Regional allocations LIVE'!$H$4:$H$269=$O55) *
  ('Regional allocations LIVE'!$D$4:$D$269&lt;AR$4) *
  (ISNUMBER('Regional allocations LIVE'!$D$4:$D$269)) *
  (('Regional allocations LIVE'!$R$4:$R$269="") + ('Regional allocations LIVE'!$R$4:$R$269&gt;=AR$4)) *
  'Regional allocations LIVE'!$T$4:$T$269)</f>
        <v>47.8</v>
      </c>
      <c r="AR55" s="249" cm="1">
        <f t="array" ref="AR55">SUMPRODUCT(
  ('Regional allocations LIVE'!$H$4:$H$269=$O55) *
  ('Regional allocations LIVE'!$D$4:$D$269&lt;AS$4) *
  (ISNUMBER('Regional allocations LIVE'!$D$4:$D$269)) *
  (('Regional allocations LIVE'!$R$4:$R$269="") + ('Regional allocations LIVE'!$R$4:$R$269&gt;=AS$4)) *
  'Regional allocations LIVE'!$T$4:$T$269)</f>
        <v>47.8</v>
      </c>
      <c r="AS55" s="249" cm="1">
        <f t="array" ref="AS55">SUMPRODUCT(
  ('Regional allocations LIVE'!$H$4:$H$269=$O55) *
  ('Regional allocations LIVE'!$D$4:$D$269&lt;AT$4) *
  (ISNUMBER('Regional allocations LIVE'!$D$4:$D$269)) *
  (('Regional allocations LIVE'!$R$4:$R$269="") + ('Regional allocations LIVE'!$R$4:$R$269&gt;=AT$4)) *
  'Regional allocations LIVE'!$T$4:$T$269)</f>
        <v>47.8</v>
      </c>
      <c r="AT55" s="249" cm="1">
        <f t="array" ref="AT55">SUMPRODUCT(
  ('Regional allocations LIVE'!$H$4:$H$269=$O55) *
  ('Regional allocations LIVE'!$D$4:$D$269&lt;AU$4) *
  (ISNUMBER('Regional allocations LIVE'!$D$4:$D$269)) *
  (('Regional allocations LIVE'!$R$4:$R$269="") + ('Regional allocations LIVE'!$R$4:$R$269&gt;=AU$4)) *
  'Regional allocations LIVE'!$T$4:$T$269)</f>
        <v>47.8</v>
      </c>
      <c r="AU55" s="249" cm="1">
        <f t="array" ref="AU55">SUMPRODUCT(
  ('Regional allocations LIVE'!$H$4:$H$269=$O55) *
  ('Regional allocations LIVE'!$D$4:$D$269&lt;AV$4) *
  (ISNUMBER('Regional allocations LIVE'!$D$4:$D$269)) *
  (('Regional allocations LIVE'!$R$4:$R$269="") + ('Regional allocations LIVE'!$R$4:$R$269&gt;=AV$4)) *
  'Regional allocations LIVE'!$T$4:$T$269)</f>
        <v>47.8</v>
      </c>
      <c r="AV55" s="249" cm="1">
        <f t="array" ref="AV55">SUMPRODUCT(
  ('Regional allocations LIVE'!$H$4:$H$269=$O55) *
  ('Regional allocations LIVE'!$D$4:$D$269&lt;AW$4) *
  (ISNUMBER('Regional allocations LIVE'!$D$4:$D$269)) *
  (('Regional allocations LIVE'!$R$4:$R$269="") + ('Regional allocations LIVE'!$R$4:$R$269&gt;=AW$4)) *
  'Regional allocations LIVE'!$T$4:$T$269)</f>
        <v>47.8</v>
      </c>
      <c r="AW55" s="249" cm="1">
        <f t="array" ref="AW55">SUMPRODUCT(
  ('Regional allocations LIVE'!$H$4:$H$269=$O55) *
  ('Regional allocations LIVE'!$D$4:$D$269&lt;AX$4) *
  (ISNUMBER('Regional allocations LIVE'!$D$4:$D$269)) *
  (('Regional allocations LIVE'!$R$4:$R$269="") + ('Regional allocations LIVE'!$R$4:$R$269&gt;=AX$4)) *
  'Regional allocations LIVE'!$T$4:$T$269)</f>
        <v>47.8</v>
      </c>
      <c r="AX55" s="249" cm="1">
        <f t="array" ref="AX55">SUMPRODUCT(
  ('Regional allocations LIVE'!$H$4:$H$269=$O55) *
  ('Regional allocations LIVE'!$D$4:$D$269&lt;AY$4) *
  (ISNUMBER('Regional allocations LIVE'!$D$4:$D$269)) *
  (('Regional allocations LIVE'!$R$4:$R$269="") + ('Regional allocations LIVE'!$R$4:$R$269&gt;=AY$4)) *
  'Regional allocations LIVE'!$T$4:$T$269)</f>
        <v>47.8</v>
      </c>
      <c r="AY55" s="249" cm="1">
        <f t="array" ref="AY55">SUMPRODUCT(
  ('Regional allocations LIVE'!$H$4:$H$269=$O55) *
  ('Regional allocations LIVE'!$D$4:$D$269&lt;AZ$4) *
  (ISNUMBER('Regional allocations LIVE'!$D$4:$D$269)) *
  (('Regional allocations LIVE'!$R$4:$R$269="") + ('Regional allocations LIVE'!$R$4:$R$269&gt;=AZ$4)) *
  'Regional allocations LIVE'!$T$4:$T$269)</f>
        <v>47.8</v>
      </c>
      <c r="AZ55" s="249" cm="1">
        <f t="array" ref="AZ55">SUMPRODUCT(
  ('Regional allocations LIVE'!$H$4:$H$269=$O55) *
  ('Regional allocations LIVE'!$D$4:$D$269&lt;BA$4) *
  (ISNUMBER('Regional allocations LIVE'!$D$4:$D$269)) *
  (('Regional allocations LIVE'!$R$4:$R$269="") + ('Regional allocations LIVE'!$R$4:$R$269&gt;=BA$4)) *
  'Regional allocations LIVE'!$T$4:$T$269)</f>
        <v>47.8</v>
      </c>
      <c r="BA55" s="249" cm="1">
        <f t="array" ref="BA55">SUMPRODUCT(
  ('Regional allocations LIVE'!$H$4:$H$269=$O55) *
  ('Regional allocations LIVE'!$D$4:$D$269&lt;BB$4) *
  (ISNUMBER('Regional allocations LIVE'!$D$4:$D$269)) *
  (('Regional allocations LIVE'!$R$4:$R$269="") + ('Regional allocations LIVE'!$R$4:$R$269&gt;=BB$4)) *
  'Regional allocations LIVE'!$T$4:$T$269)</f>
        <v>47.8</v>
      </c>
      <c r="BB55" s="249" cm="1">
        <f t="array" ref="BB55">SUMPRODUCT(
  ('Regional allocations LIVE'!$H$4:$H$269=$O55) *
  ('Regional allocations LIVE'!$D$4:$D$269&lt;BC$4) *
  (ISNUMBER('Regional allocations LIVE'!$D$4:$D$269)) *
  (('Regional allocations LIVE'!$R$4:$R$269="") + ('Regional allocations LIVE'!$R$4:$R$269&gt;=BC$4)) *
  'Regional allocations LIVE'!$T$4:$T$269)</f>
        <v>47.8</v>
      </c>
      <c r="BC55" s="249" cm="1">
        <f t="array" ref="BC55">SUMPRODUCT(
  ('Regional allocations LIVE'!$H$4:$H$269=$O55) *
  ('Regional allocations LIVE'!$D$4:$D$269&lt;BD$4) *
  (ISNUMBER('Regional allocations LIVE'!$D$4:$D$269)) *
  (('Regional allocations LIVE'!$R$4:$R$269="") + ('Regional allocations LIVE'!$R$4:$R$269&gt;=BD$4)) *
  'Regional allocations LIVE'!$T$4:$T$269)</f>
        <v>47.8</v>
      </c>
      <c r="BD55" s="249" cm="1">
        <f t="array" ref="BD55">SUMPRODUCT(
  ('Regional allocations LIVE'!$H$4:$H$269=$O55) *
  ('Regional allocations LIVE'!$D$4:$D$269&lt;BE$4) *
  (ISNUMBER('Regional allocations LIVE'!$D$4:$D$269)) *
  (('Regional allocations LIVE'!$R$4:$R$269="") + ('Regional allocations LIVE'!$R$4:$R$269&gt;=BE$4)) *
  'Regional allocations LIVE'!$T$4:$T$269)</f>
        <v>47.8</v>
      </c>
    </row>
    <row r="56" spans="2:59" ht="12.6" x14ac:dyDescent="0.25">
      <c r="B56"/>
      <c r="C56"/>
      <c r="D56"/>
      <c r="O56" s="119" t="s">
        <v>59</v>
      </c>
      <c r="Q56" s="152" t="s">
        <v>59</v>
      </c>
      <c r="R56" s="155"/>
      <c r="S56" s="155"/>
      <c r="T56" s="155"/>
      <c r="U56" s="247"/>
      <c r="V56" s="155"/>
      <c r="W56" s="171"/>
      <c r="X56" s="155"/>
      <c r="Y56" s="155"/>
      <c r="Z56" s="155"/>
      <c r="AA56" s="155"/>
      <c r="AB56" s="155"/>
      <c r="AC56" s="155"/>
      <c r="AD56" s="155"/>
      <c r="AE56" s="182"/>
      <c r="AF56" s="182"/>
      <c r="AG56" s="250" cm="1">
        <f t="array" ref="AG56">SUMPRODUCT(
  ('Regional allocations LIVE'!$H$4:$H$269=$O56) *
  ('Regional allocations LIVE'!$D$4:$D$269&lt;AH$4) *
  (ISNUMBER('Regional allocations LIVE'!$D$4:$D$269)) *
  (('Regional allocations LIVE'!$R$4:$R$269="") + ('Regional allocations LIVE'!$R$4:$R$269&gt;=AH$4)) *
  'Regional allocations LIVE'!$T$4:$T$269)</f>
        <v>16.450000000000003</v>
      </c>
      <c r="AH56" s="250" cm="1">
        <f t="array" ref="AH56">SUMPRODUCT(
  ('Regional allocations LIVE'!$H$4:$H$269=$O56) *
  ('Regional allocations LIVE'!$D$4:$D$269&lt;AI$4) *
  (ISNUMBER('Regional allocations LIVE'!$D$4:$D$269)) *
  (('Regional allocations LIVE'!$R$4:$R$269="") + ('Regional allocations LIVE'!$R$4:$R$269&gt;=AI$4)) *
  'Regional allocations LIVE'!$T$4:$T$269)</f>
        <v>16.450000000000003</v>
      </c>
      <c r="AI56" s="249" cm="1">
        <f t="array" ref="AI56">SUMPRODUCT(
  ('Regional allocations LIVE'!$H$4:$H$269=$O56) *
  ('Regional allocations LIVE'!$D$4:$D$269&lt;AJ$4) *
  (ISNUMBER('Regional allocations LIVE'!$D$4:$D$269)) *
  (('Regional allocations LIVE'!$R$4:$R$269="") + ('Regional allocations LIVE'!$R$4:$R$269&gt;=AJ$4)) *
  'Regional allocations LIVE'!$T$4:$T$269)</f>
        <v>16.450000000000003</v>
      </c>
      <c r="AJ56" s="249" cm="1">
        <f t="array" ref="AJ56">SUMPRODUCT(
  ('Regional allocations LIVE'!$H$4:$H$269=$O56) *
  ('Regional allocations LIVE'!$D$4:$D$269&lt;AK$4) *
  (ISNUMBER('Regional allocations LIVE'!$D$4:$D$269)) *
  (('Regional allocations LIVE'!$R$4:$R$269="") + ('Regional allocations LIVE'!$R$4:$R$269&gt;=AK$4)) *
  'Regional allocations LIVE'!$T$4:$T$269)</f>
        <v>17.450000000000003</v>
      </c>
      <c r="AK56" s="276" cm="1">
        <f t="array" ref="AK56">SUMPRODUCT(
  ('Regional allocations LIVE'!$H$4:$H$269=$O56) *
  ('Regional allocations LIVE'!$D$4:$D$269&lt;AL$4) *
  (ISNUMBER('Regional allocations LIVE'!$D$4:$D$269)) *
  (('Regional allocations LIVE'!$R$4:$R$269="") + ('Regional allocations LIVE'!$R$4:$R$269&gt;=AL$4)) *
  'Regional allocations LIVE'!$T$4:$T$269)</f>
        <v>17.450000000000003</v>
      </c>
      <c r="AL56" s="249" cm="1">
        <f t="array" ref="AL56">SUMPRODUCT(
  ('Regional allocations LIVE'!$H$4:$H$269=$O56) *
  ('Regional allocations LIVE'!$D$4:$D$269&lt;AM$4) *
  (ISNUMBER('Regional allocations LIVE'!$D$4:$D$269)) *
  (('Regional allocations LIVE'!$R$4:$R$269="") + ('Regional allocations LIVE'!$R$4:$R$269&gt;=AM$4)) *
  'Regional allocations LIVE'!$T$4:$T$269)</f>
        <v>17.450000000000003</v>
      </c>
      <c r="AM56" s="249" cm="1">
        <f t="array" ref="AM56">SUMPRODUCT(
  ('Regional allocations LIVE'!$H$4:$H$269=$O56) *
  ('Regional allocations LIVE'!$D$4:$D$269&lt;AN$4) *
  (ISNUMBER('Regional allocations LIVE'!$D$4:$D$269)) *
  (('Regional allocations LIVE'!$R$4:$R$269="") + ('Regional allocations LIVE'!$R$4:$R$269&gt;=AN$4)) *
  'Regional allocations LIVE'!$T$4:$T$269)</f>
        <v>17.450000000000003</v>
      </c>
      <c r="AN56" s="249" cm="1">
        <f t="array" ref="AN56">SUMPRODUCT(
  ('Regional allocations LIVE'!$H$4:$H$269=$O56) *
  ('Regional allocations LIVE'!$D$4:$D$269&lt;AO$4) *
  (ISNUMBER('Regional allocations LIVE'!$D$4:$D$269)) *
  (('Regional allocations LIVE'!$R$4:$R$269="") + ('Regional allocations LIVE'!$R$4:$R$269&gt;=AO$4)) *
  'Regional allocations LIVE'!$T$4:$T$269)</f>
        <v>17.450000000000003</v>
      </c>
      <c r="AO56" s="249" cm="1">
        <f t="array" ref="AO56">SUMPRODUCT(
  ('Regional allocations LIVE'!$H$4:$H$269=$O56) *
  ('Regional allocations LIVE'!$D$4:$D$269&lt;AP$4) *
  (ISNUMBER('Regional allocations LIVE'!$D$4:$D$269)) *
  (('Regional allocations LIVE'!$R$4:$R$269="") + ('Regional allocations LIVE'!$R$4:$R$269&gt;=AP$4)) *
  'Regional allocations LIVE'!$T$4:$T$269)</f>
        <v>17.450000000000003</v>
      </c>
      <c r="AP56" s="249" cm="1">
        <f t="array" ref="AP56">SUMPRODUCT(
  ('Regional allocations LIVE'!$H$4:$H$269=$O56) *
  ('Regional allocations LIVE'!$D$4:$D$269&lt;AQ$4) *
  (ISNUMBER('Regional allocations LIVE'!$D$4:$D$269)) *
  (('Regional allocations LIVE'!$R$4:$R$269="") + ('Regional allocations LIVE'!$R$4:$R$269&gt;=AQ$4)) *
  'Regional allocations LIVE'!$T$4:$T$269)</f>
        <v>17.450000000000003</v>
      </c>
      <c r="AQ56" s="249" cm="1">
        <f t="array" ref="AQ56">SUMPRODUCT(
  ('Regional allocations LIVE'!$H$4:$H$269=$O56) *
  ('Regional allocations LIVE'!$D$4:$D$269&lt;AR$4) *
  (ISNUMBER('Regional allocations LIVE'!$D$4:$D$269)) *
  (('Regional allocations LIVE'!$R$4:$R$269="") + ('Regional allocations LIVE'!$R$4:$R$269&gt;=AR$4)) *
  'Regional allocations LIVE'!$T$4:$T$269)</f>
        <v>17.450000000000003</v>
      </c>
      <c r="AR56" s="249" cm="1">
        <f t="array" ref="AR56">SUMPRODUCT(
  ('Regional allocations LIVE'!$H$4:$H$269=$O56) *
  ('Regional allocations LIVE'!$D$4:$D$269&lt;AS$4) *
  (ISNUMBER('Regional allocations LIVE'!$D$4:$D$269)) *
  (('Regional allocations LIVE'!$R$4:$R$269="") + ('Regional allocations LIVE'!$R$4:$R$269&gt;=AS$4)) *
  'Regional allocations LIVE'!$T$4:$T$269)</f>
        <v>17.450000000000003</v>
      </c>
      <c r="AS56" s="249" cm="1">
        <f t="array" ref="AS56">SUMPRODUCT(
  ('Regional allocations LIVE'!$H$4:$H$269=$O56) *
  ('Regional allocations LIVE'!$D$4:$D$269&lt;AT$4) *
  (ISNUMBER('Regional allocations LIVE'!$D$4:$D$269)) *
  (('Regional allocations LIVE'!$R$4:$R$269="") + ('Regional allocations LIVE'!$R$4:$R$269&gt;=AT$4)) *
  'Regional allocations LIVE'!$T$4:$T$269)</f>
        <v>17.450000000000003</v>
      </c>
      <c r="AT56" s="249" cm="1">
        <f t="array" ref="AT56">SUMPRODUCT(
  ('Regional allocations LIVE'!$H$4:$H$269=$O56) *
  ('Regional allocations LIVE'!$D$4:$D$269&lt;AU$4) *
  (ISNUMBER('Regional allocations LIVE'!$D$4:$D$269)) *
  (('Regional allocations LIVE'!$R$4:$R$269="") + ('Regional allocations LIVE'!$R$4:$R$269&gt;=AU$4)) *
  'Regional allocations LIVE'!$T$4:$T$269)</f>
        <v>17.450000000000003</v>
      </c>
      <c r="AU56" s="249" cm="1">
        <f t="array" ref="AU56">SUMPRODUCT(
  ('Regional allocations LIVE'!$H$4:$H$269=$O56) *
  ('Regional allocations LIVE'!$D$4:$D$269&lt;AV$4) *
  (ISNUMBER('Regional allocations LIVE'!$D$4:$D$269)) *
  (('Regional allocations LIVE'!$R$4:$R$269="") + ('Regional allocations LIVE'!$R$4:$R$269&gt;=AV$4)) *
  'Regional allocations LIVE'!$T$4:$T$269)</f>
        <v>17.450000000000003</v>
      </c>
      <c r="AV56" s="249" cm="1">
        <f t="array" ref="AV56">SUMPRODUCT(
  ('Regional allocations LIVE'!$H$4:$H$269=$O56) *
  ('Regional allocations LIVE'!$D$4:$D$269&lt;AW$4) *
  (ISNUMBER('Regional allocations LIVE'!$D$4:$D$269)) *
  (('Regional allocations LIVE'!$R$4:$R$269="") + ('Regional allocations LIVE'!$R$4:$R$269&gt;=AW$4)) *
  'Regional allocations LIVE'!$T$4:$T$269)</f>
        <v>17.450000000000003</v>
      </c>
      <c r="AW56" s="249" cm="1">
        <f t="array" ref="AW56">SUMPRODUCT(
  ('Regional allocations LIVE'!$H$4:$H$269=$O56) *
  ('Regional allocations LIVE'!$D$4:$D$269&lt;AX$4) *
  (ISNUMBER('Regional allocations LIVE'!$D$4:$D$269)) *
  (('Regional allocations LIVE'!$R$4:$R$269="") + ('Regional allocations LIVE'!$R$4:$R$269&gt;=AX$4)) *
  'Regional allocations LIVE'!$T$4:$T$269)</f>
        <v>17.450000000000003</v>
      </c>
      <c r="AX56" s="249" cm="1">
        <f t="array" ref="AX56">SUMPRODUCT(
  ('Regional allocations LIVE'!$H$4:$H$269=$O56) *
  ('Regional allocations LIVE'!$D$4:$D$269&lt;AY$4) *
  (ISNUMBER('Regional allocations LIVE'!$D$4:$D$269)) *
  (('Regional allocations LIVE'!$R$4:$R$269="") + ('Regional allocations LIVE'!$R$4:$R$269&gt;=AY$4)) *
  'Regional allocations LIVE'!$T$4:$T$269)</f>
        <v>17.450000000000003</v>
      </c>
      <c r="AY56" s="249" cm="1">
        <f t="array" ref="AY56">SUMPRODUCT(
  ('Regional allocations LIVE'!$H$4:$H$269=$O56) *
  ('Regional allocations LIVE'!$D$4:$D$269&lt;AZ$4) *
  (ISNUMBER('Regional allocations LIVE'!$D$4:$D$269)) *
  (('Regional allocations LIVE'!$R$4:$R$269="") + ('Regional allocations LIVE'!$R$4:$R$269&gt;=AZ$4)) *
  'Regional allocations LIVE'!$T$4:$T$269)</f>
        <v>17.450000000000003</v>
      </c>
      <c r="AZ56" s="249" cm="1">
        <f t="array" ref="AZ56">SUMPRODUCT(
  ('Regional allocations LIVE'!$H$4:$H$269=$O56) *
  ('Regional allocations LIVE'!$D$4:$D$269&lt;BA$4) *
  (ISNUMBER('Regional allocations LIVE'!$D$4:$D$269)) *
  (('Regional allocations LIVE'!$R$4:$R$269="") + ('Regional allocations LIVE'!$R$4:$R$269&gt;=BA$4)) *
  'Regional allocations LIVE'!$T$4:$T$269)</f>
        <v>17.450000000000003</v>
      </c>
      <c r="BA56" s="249" cm="1">
        <f t="array" ref="BA56">SUMPRODUCT(
  ('Regional allocations LIVE'!$H$4:$H$269=$O56) *
  ('Regional allocations LIVE'!$D$4:$D$269&lt;BB$4) *
  (ISNUMBER('Regional allocations LIVE'!$D$4:$D$269)) *
  (('Regional allocations LIVE'!$R$4:$R$269="") + ('Regional allocations LIVE'!$R$4:$R$269&gt;=BB$4)) *
  'Regional allocations LIVE'!$T$4:$T$269)</f>
        <v>17.450000000000003</v>
      </c>
      <c r="BB56" s="249" cm="1">
        <f t="array" ref="BB56">SUMPRODUCT(
  ('Regional allocations LIVE'!$H$4:$H$269=$O56) *
  ('Regional allocations LIVE'!$D$4:$D$269&lt;BC$4) *
  (ISNUMBER('Regional allocations LIVE'!$D$4:$D$269)) *
  (('Regional allocations LIVE'!$R$4:$R$269="") + ('Regional allocations LIVE'!$R$4:$R$269&gt;=BC$4)) *
  'Regional allocations LIVE'!$T$4:$T$269)</f>
        <v>17.450000000000003</v>
      </c>
      <c r="BC56" s="249" cm="1">
        <f t="array" ref="BC56">SUMPRODUCT(
  ('Regional allocations LIVE'!$H$4:$H$269=$O56) *
  ('Regional allocations LIVE'!$D$4:$D$269&lt;BD$4) *
  (ISNUMBER('Regional allocations LIVE'!$D$4:$D$269)) *
  (('Regional allocations LIVE'!$R$4:$R$269="") + ('Regional allocations LIVE'!$R$4:$R$269&gt;=BD$4)) *
  'Regional allocations LIVE'!$T$4:$T$269)</f>
        <v>17.450000000000003</v>
      </c>
      <c r="BD56" s="249" cm="1">
        <f t="array" ref="BD56">SUMPRODUCT(
  ('Regional allocations LIVE'!$H$4:$H$269=$O56) *
  ('Regional allocations LIVE'!$D$4:$D$269&lt;BE$4) *
  (ISNUMBER('Regional allocations LIVE'!$D$4:$D$269)) *
  (('Regional allocations LIVE'!$R$4:$R$269="") + ('Regional allocations LIVE'!$R$4:$R$269&gt;=BE$4)) *
  'Regional allocations LIVE'!$T$4:$T$269)</f>
        <v>17.450000000000003</v>
      </c>
    </row>
    <row r="57" spans="2:59" ht="12.6" x14ac:dyDescent="0.25">
      <c r="B57"/>
      <c r="C57"/>
      <c r="D57"/>
      <c r="O57" s="119" t="s">
        <v>97</v>
      </c>
      <c r="Q57" s="152" t="s">
        <v>97</v>
      </c>
      <c r="R57" s="155"/>
      <c r="S57" s="155"/>
      <c r="T57" s="155"/>
      <c r="U57" s="247"/>
      <c r="V57" s="155"/>
      <c r="W57" s="171"/>
      <c r="X57" s="155"/>
      <c r="Y57" s="155"/>
      <c r="Z57" s="155"/>
      <c r="AA57" s="155"/>
      <c r="AB57" s="155"/>
      <c r="AC57" s="155"/>
      <c r="AD57" s="155"/>
      <c r="AE57" s="182"/>
      <c r="AF57" s="182"/>
      <c r="AG57" s="249" cm="1">
        <f t="array" ref="AG57">SUMPRODUCT(
  ('Regional allocations LIVE'!$H$4:$H$269=$O57) *
  ('Regional allocations LIVE'!$D$4:$D$269&lt;AH$4) *
  (ISNUMBER('Regional allocations LIVE'!$D$4:$D$269)) *
  (('Regional allocations LIVE'!$R$4:$R$269="") + ('Regional allocations LIVE'!$R$4:$R$269&gt;=AH$4)) *
  'Regional allocations LIVE'!$T$4:$T$269)</f>
        <v>1</v>
      </c>
      <c r="AH57" s="250" cm="1">
        <f t="array" ref="AH57">SUMPRODUCT(
  ('Regional allocations LIVE'!$H$4:$H$269=$O57) *
  ('Regional allocations LIVE'!$D$4:$D$269&lt;AI$4) *
  (ISNUMBER('Regional allocations LIVE'!$D$4:$D$269)) *
  (('Regional allocations LIVE'!$R$4:$R$269="") + ('Regional allocations LIVE'!$R$4:$R$269&gt;=AI$4)) *
  'Regional allocations LIVE'!$T$4:$T$269)</f>
        <v>1</v>
      </c>
      <c r="AI57" s="249" cm="1">
        <f t="array" ref="AI57">SUMPRODUCT(
  ('Regional allocations LIVE'!$H$4:$H$269=$O57) *
  ('Regional allocations LIVE'!$D$4:$D$269&lt;AJ$4) *
  (ISNUMBER('Regional allocations LIVE'!$D$4:$D$269)) *
  (('Regional allocations LIVE'!$R$4:$R$269="") + ('Regional allocations LIVE'!$R$4:$R$269&gt;=AJ$4)) *
  'Regional allocations LIVE'!$T$4:$T$269)</f>
        <v>1</v>
      </c>
      <c r="AJ57" s="249" cm="1">
        <f t="array" ref="AJ57">SUMPRODUCT(
  ('Regional allocations LIVE'!$H$4:$H$269=$O57) *
  ('Regional allocations LIVE'!$D$4:$D$269&lt;AK$4) *
  (ISNUMBER('Regional allocations LIVE'!$D$4:$D$269)) *
  (('Regional allocations LIVE'!$R$4:$R$269="") + ('Regional allocations LIVE'!$R$4:$R$269&gt;=AK$4)) *
  'Regional allocations LIVE'!$T$4:$T$269)</f>
        <v>1</v>
      </c>
      <c r="AK57" s="276" cm="1">
        <f t="array" ref="AK57">SUMPRODUCT(
  ('Regional allocations LIVE'!$H$4:$H$269=$O57) *
  ('Regional allocations LIVE'!$D$4:$D$269&lt;AL$4) *
  (ISNUMBER('Regional allocations LIVE'!$D$4:$D$269)) *
  (('Regional allocations LIVE'!$R$4:$R$269="") + ('Regional allocations LIVE'!$R$4:$R$269&gt;=AL$4)) *
  'Regional allocations LIVE'!$T$4:$T$269)</f>
        <v>1</v>
      </c>
      <c r="AL57" s="249" cm="1">
        <f t="array" ref="AL57">SUMPRODUCT(
  ('Regional allocations LIVE'!$H$4:$H$269=$O57) *
  ('Regional allocations LIVE'!$D$4:$D$269&lt;AM$4) *
  (ISNUMBER('Regional allocations LIVE'!$D$4:$D$269)) *
  (('Regional allocations LIVE'!$R$4:$R$269="") + ('Regional allocations LIVE'!$R$4:$R$269&gt;=AM$4)) *
  'Regional allocations LIVE'!$T$4:$T$269)</f>
        <v>1</v>
      </c>
      <c r="AM57" s="249" cm="1">
        <f t="array" ref="AM57">SUMPRODUCT(
  ('Regional allocations LIVE'!$H$4:$H$269=$O57) *
  ('Regional allocations LIVE'!$D$4:$D$269&lt;AN$4) *
  (ISNUMBER('Regional allocations LIVE'!$D$4:$D$269)) *
  (('Regional allocations LIVE'!$R$4:$R$269="") + ('Regional allocations LIVE'!$R$4:$R$269&gt;=AN$4)) *
  'Regional allocations LIVE'!$T$4:$T$269)</f>
        <v>1</v>
      </c>
      <c r="AN57" s="249" cm="1">
        <f t="array" ref="AN57">SUMPRODUCT(
  ('Regional allocations LIVE'!$H$4:$H$269=$O57) *
  ('Regional allocations LIVE'!$D$4:$D$269&lt;AO$4) *
  (ISNUMBER('Regional allocations LIVE'!$D$4:$D$269)) *
  (('Regional allocations LIVE'!$R$4:$R$269="") + ('Regional allocations LIVE'!$R$4:$R$269&gt;=AO$4)) *
  'Regional allocations LIVE'!$T$4:$T$269)</f>
        <v>1</v>
      </c>
      <c r="AO57" s="249" cm="1">
        <f t="array" ref="AO57">SUMPRODUCT(
  ('Regional allocations LIVE'!$H$4:$H$269=$O57) *
  ('Regional allocations LIVE'!$D$4:$D$269&lt;AP$4) *
  (ISNUMBER('Regional allocations LIVE'!$D$4:$D$269)) *
  (('Regional allocations LIVE'!$R$4:$R$269="") + ('Regional allocations LIVE'!$R$4:$R$269&gt;=AP$4)) *
  'Regional allocations LIVE'!$T$4:$T$269)</f>
        <v>1</v>
      </c>
      <c r="AP57" s="249" cm="1">
        <f t="array" ref="AP57">SUMPRODUCT(
  ('Regional allocations LIVE'!$H$4:$H$269=$O57) *
  ('Regional allocations LIVE'!$D$4:$D$269&lt;AQ$4) *
  (ISNUMBER('Regional allocations LIVE'!$D$4:$D$269)) *
  (('Regional allocations LIVE'!$R$4:$R$269="") + ('Regional allocations LIVE'!$R$4:$R$269&gt;=AQ$4)) *
  'Regional allocations LIVE'!$T$4:$T$269)</f>
        <v>1</v>
      </c>
      <c r="AQ57" s="249" cm="1">
        <f t="array" ref="AQ57">SUMPRODUCT(
  ('Regional allocations LIVE'!$H$4:$H$269=$O57) *
  ('Regional allocations LIVE'!$D$4:$D$269&lt;AR$4) *
  (ISNUMBER('Regional allocations LIVE'!$D$4:$D$269)) *
  (('Regional allocations LIVE'!$R$4:$R$269="") + ('Regional allocations LIVE'!$R$4:$R$269&gt;=AR$4)) *
  'Regional allocations LIVE'!$T$4:$T$269)</f>
        <v>1</v>
      </c>
      <c r="AR57" s="249" cm="1">
        <f t="array" ref="AR57">SUMPRODUCT(
  ('Regional allocations LIVE'!$H$4:$H$269=$O57) *
  ('Regional allocations LIVE'!$D$4:$D$269&lt;AS$4) *
  (ISNUMBER('Regional allocations LIVE'!$D$4:$D$269)) *
  (('Regional allocations LIVE'!$R$4:$R$269="") + ('Regional allocations LIVE'!$R$4:$R$269&gt;=AS$4)) *
  'Regional allocations LIVE'!$T$4:$T$269)</f>
        <v>1</v>
      </c>
      <c r="AS57" s="249" cm="1">
        <f t="array" ref="AS57">SUMPRODUCT(
  ('Regional allocations LIVE'!$H$4:$H$269=$O57) *
  ('Regional allocations LIVE'!$D$4:$D$269&lt;AT$4) *
  (ISNUMBER('Regional allocations LIVE'!$D$4:$D$269)) *
  (('Regional allocations LIVE'!$R$4:$R$269="") + ('Regional allocations LIVE'!$R$4:$R$269&gt;=AT$4)) *
  'Regional allocations LIVE'!$T$4:$T$269)</f>
        <v>1</v>
      </c>
      <c r="AT57" s="249" cm="1">
        <f t="array" ref="AT57">SUMPRODUCT(
  ('Regional allocations LIVE'!$H$4:$H$269=$O57) *
  ('Regional allocations LIVE'!$D$4:$D$269&lt;AU$4) *
  (ISNUMBER('Regional allocations LIVE'!$D$4:$D$269)) *
  (('Regional allocations LIVE'!$R$4:$R$269="") + ('Regional allocations LIVE'!$R$4:$R$269&gt;=AU$4)) *
  'Regional allocations LIVE'!$T$4:$T$269)</f>
        <v>1</v>
      </c>
      <c r="AU57" s="249" cm="1">
        <f t="array" ref="AU57">SUMPRODUCT(
  ('Regional allocations LIVE'!$H$4:$H$269=$O57) *
  ('Regional allocations LIVE'!$D$4:$D$269&lt;AV$4) *
  (ISNUMBER('Regional allocations LIVE'!$D$4:$D$269)) *
  (('Regional allocations LIVE'!$R$4:$R$269="") + ('Regional allocations LIVE'!$R$4:$R$269&gt;=AV$4)) *
  'Regional allocations LIVE'!$T$4:$T$269)</f>
        <v>1</v>
      </c>
      <c r="AV57" s="249" cm="1">
        <f t="array" ref="AV57">SUMPRODUCT(
  ('Regional allocations LIVE'!$H$4:$H$269=$O57) *
  ('Regional allocations LIVE'!$D$4:$D$269&lt;AW$4) *
  (ISNUMBER('Regional allocations LIVE'!$D$4:$D$269)) *
  (('Regional allocations LIVE'!$R$4:$R$269="") + ('Regional allocations LIVE'!$R$4:$R$269&gt;=AW$4)) *
  'Regional allocations LIVE'!$T$4:$T$269)</f>
        <v>1</v>
      </c>
      <c r="AW57" s="249" cm="1">
        <f t="array" ref="AW57">SUMPRODUCT(
  ('Regional allocations LIVE'!$H$4:$H$269=$O57) *
  ('Regional allocations LIVE'!$D$4:$D$269&lt;AX$4) *
  (ISNUMBER('Regional allocations LIVE'!$D$4:$D$269)) *
  (('Regional allocations LIVE'!$R$4:$R$269="") + ('Regional allocations LIVE'!$R$4:$R$269&gt;=AX$4)) *
  'Regional allocations LIVE'!$T$4:$T$269)</f>
        <v>1</v>
      </c>
      <c r="AX57" s="249" cm="1">
        <f t="array" ref="AX57">SUMPRODUCT(
  ('Regional allocations LIVE'!$H$4:$H$269=$O57) *
  ('Regional allocations LIVE'!$D$4:$D$269&lt;AY$4) *
  (ISNUMBER('Regional allocations LIVE'!$D$4:$D$269)) *
  (('Regional allocations LIVE'!$R$4:$R$269="") + ('Regional allocations LIVE'!$R$4:$R$269&gt;=AY$4)) *
  'Regional allocations LIVE'!$T$4:$T$269)</f>
        <v>1</v>
      </c>
      <c r="AY57" s="249" cm="1">
        <f t="array" ref="AY57">SUMPRODUCT(
  ('Regional allocations LIVE'!$H$4:$H$269=$O57) *
  ('Regional allocations LIVE'!$D$4:$D$269&lt;AZ$4) *
  (ISNUMBER('Regional allocations LIVE'!$D$4:$D$269)) *
  (('Regional allocations LIVE'!$R$4:$R$269="") + ('Regional allocations LIVE'!$R$4:$R$269&gt;=AZ$4)) *
  'Regional allocations LIVE'!$T$4:$T$269)</f>
        <v>1</v>
      </c>
      <c r="AZ57" s="249" cm="1">
        <f t="array" ref="AZ57">SUMPRODUCT(
  ('Regional allocations LIVE'!$H$4:$H$269=$O57) *
  ('Regional allocations LIVE'!$D$4:$D$269&lt;BA$4) *
  (ISNUMBER('Regional allocations LIVE'!$D$4:$D$269)) *
  (('Regional allocations LIVE'!$R$4:$R$269="") + ('Regional allocations LIVE'!$R$4:$R$269&gt;=BA$4)) *
  'Regional allocations LIVE'!$T$4:$T$269)</f>
        <v>1</v>
      </c>
      <c r="BA57" s="249" cm="1">
        <f t="array" ref="BA57">SUMPRODUCT(
  ('Regional allocations LIVE'!$H$4:$H$269=$O57) *
  ('Regional allocations LIVE'!$D$4:$D$269&lt;BB$4) *
  (ISNUMBER('Regional allocations LIVE'!$D$4:$D$269)) *
  (('Regional allocations LIVE'!$R$4:$R$269="") + ('Regional allocations LIVE'!$R$4:$R$269&gt;=BB$4)) *
  'Regional allocations LIVE'!$T$4:$T$269)</f>
        <v>1</v>
      </c>
      <c r="BB57" s="249" cm="1">
        <f t="array" ref="BB57">SUMPRODUCT(
  ('Regional allocations LIVE'!$H$4:$H$269=$O57) *
  ('Regional allocations LIVE'!$D$4:$D$269&lt;BC$4) *
  (ISNUMBER('Regional allocations LIVE'!$D$4:$D$269)) *
  (('Regional allocations LIVE'!$R$4:$R$269="") + ('Regional allocations LIVE'!$R$4:$R$269&gt;=BC$4)) *
  'Regional allocations LIVE'!$T$4:$T$269)</f>
        <v>1</v>
      </c>
      <c r="BC57" s="249" cm="1">
        <f t="array" ref="BC57">SUMPRODUCT(
  ('Regional allocations LIVE'!$H$4:$H$269=$O57) *
  ('Regional allocations LIVE'!$D$4:$D$269&lt;BD$4) *
  (ISNUMBER('Regional allocations LIVE'!$D$4:$D$269)) *
  (('Regional allocations LIVE'!$R$4:$R$269="") + ('Regional allocations LIVE'!$R$4:$R$269&gt;=BD$4)) *
  'Regional allocations LIVE'!$T$4:$T$269)</f>
        <v>1</v>
      </c>
      <c r="BD57" s="249" cm="1">
        <f t="array" ref="BD57">SUMPRODUCT(
  ('Regional allocations LIVE'!$H$4:$H$269=$O57) *
  ('Regional allocations LIVE'!$D$4:$D$269&lt;BE$4) *
  (ISNUMBER('Regional allocations LIVE'!$D$4:$D$269)) *
  (('Regional allocations LIVE'!$R$4:$R$269="") + ('Regional allocations LIVE'!$R$4:$R$269&gt;=BE$4)) *
  'Regional allocations LIVE'!$T$4:$T$269)</f>
        <v>1</v>
      </c>
    </row>
    <row r="58" spans="2:59" ht="12.75" x14ac:dyDescent="0.2">
      <c r="B58"/>
      <c r="C58"/>
      <c r="D58"/>
      <c r="O58" s="119" t="s">
        <v>61</v>
      </c>
      <c r="Q58" s="152" t="s">
        <v>61</v>
      </c>
      <c r="R58" s="155"/>
      <c r="S58" s="155"/>
      <c r="T58" s="155"/>
      <c r="U58" s="247"/>
      <c r="V58" s="155"/>
      <c r="W58" s="171"/>
      <c r="X58" s="155"/>
      <c r="Y58" s="155"/>
      <c r="Z58" s="155"/>
      <c r="AA58" s="155"/>
      <c r="AB58" s="155"/>
      <c r="AC58" s="155"/>
      <c r="AD58" s="155"/>
      <c r="AE58" s="182"/>
      <c r="AF58" s="182"/>
      <c r="AG58" s="250" cm="1">
        <f t="array" ref="AG58">SUMPRODUCT(
  ('Regional allocations LIVE'!$H$4:$H$269=$O58) *
  ('Regional allocations LIVE'!$D$4:$D$269&lt;AH$4) *
  (ISNUMBER('Regional allocations LIVE'!$D$4:$D$269)) *
  (('Regional allocations LIVE'!$R$4:$R$269="") + ('Regional allocations LIVE'!$R$4:$R$269&gt;=AH$4)) *
  'Regional allocations LIVE'!$T$4:$T$269)</f>
        <v>41</v>
      </c>
      <c r="AH58" s="250" cm="1">
        <f t="array" ref="AH58">SUMPRODUCT(
  ('Regional allocations LIVE'!$H$4:$H$269=$O58) *
  ('Regional allocations LIVE'!$D$4:$D$269&lt;AI$4) *
  (ISNUMBER('Regional allocations LIVE'!$D$4:$D$269)) *
  (('Regional allocations LIVE'!$R$4:$R$269="") + ('Regional allocations LIVE'!$R$4:$R$269&gt;=AI$4)) *
  'Regional allocations LIVE'!$T$4:$T$269)</f>
        <v>40</v>
      </c>
      <c r="AI58" s="249" cm="1">
        <f t="array" ref="AI58">SUMPRODUCT(
  ('Regional allocations LIVE'!$H$4:$H$269=$O58) *
  ('Regional allocations LIVE'!$D$4:$D$269&lt;AJ$4) *
  (ISNUMBER('Regional allocations LIVE'!$D$4:$D$269)) *
  (('Regional allocations LIVE'!$R$4:$R$269="") + ('Regional allocations LIVE'!$R$4:$R$269&gt;=AJ$4)) *
  'Regional allocations LIVE'!$T$4:$T$269)</f>
        <v>38</v>
      </c>
      <c r="AJ58" s="249" cm="1">
        <f t="array" ref="AJ58">SUMPRODUCT(
  ('Regional allocations LIVE'!$H$4:$H$269=$O58) *
  ('Regional allocations LIVE'!$D$4:$D$269&lt;AK$4) *
  (ISNUMBER('Regional allocations LIVE'!$D$4:$D$269)) *
  (('Regional allocations LIVE'!$R$4:$R$269="") + ('Regional allocations LIVE'!$R$4:$R$269&gt;=AK$4)) *
  'Regional allocations LIVE'!$T$4:$T$269)</f>
        <v>39</v>
      </c>
      <c r="AK58" s="276" cm="1">
        <f t="array" ref="AK58">SUMPRODUCT(
  ('Regional allocations LIVE'!$H$4:$H$269=$O58) *
  ('Regional allocations LIVE'!$D$4:$D$269&lt;AL$4) *
  (ISNUMBER('Regional allocations LIVE'!$D$4:$D$269)) *
  (('Regional allocations LIVE'!$R$4:$R$269="") + ('Regional allocations LIVE'!$R$4:$R$269&gt;=AL$4)) *
  'Regional allocations LIVE'!$T$4:$T$269)</f>
        <v>39</v>
      </c>
      <c r="AL58" s="249" cm="1">
        <f t="array" ref="AL58">SUMPRODUCT(
  ('Regional allocations LIVE'!$H$4:$H$269=$O58) *
  ('Regional allocations LIVE'!$D$4:$D$269&lt;AM$4) *
  (ISNUMBER('Regional allocations LIVE'!$D$4:$D$269)) *
  (('Regional allocations LIVE'!$R$4:$R$269="") + ('Regional allocations LIVE'!$R$4:$R$269&gt;=AM$4)) *
  'Regional allocations LIVE'!$T$4:$T$269)</f>
        <v>38</v>
      </c>
      <c r="AM58" s="249" cm="1">
        <f t="array" ref="AM58">SUMPRODUCT(
  ('Regional allocations LIVE'!$H$4:$H$269=$O58) *
  ('Regional allocations LIVE'!$D$4:$D$269&lt;AN$4) *
  (ISNUMBER('Regional allocations LIVE'!$D$4:$D$269)) *
  (('Regional allocations LIVE'!$R$4:$R$269="") + ('Regional allocations LIVE'!$R$4:$R$269&gt;=AN$4)) *
  'Regional allocations LIVE'!$T$4:$T$269)</f>
        <v>38</v>
      </c>
      <c r="AN58" s="249" cm="1">
        <f t="array" ref="AN58">SUMPRODUCT(
  ('Regional allocations LIVE'!$H$4:$H$269=$O58) *
  ('Regional allocations LIVE'!$D$4:$D$269&lt;AO$4) *
  (ISNUMBER('Regional allocations LIVE'!$D$4:$D$269)) *
  (('Regional allocations LIVE'!$R$4:$R$269="") + ('Regional allocations LIVE'!$R$4:$R$269&gt;=AO$4)) *
  'Regional allocations LIVE'!$T$4:$T$269)</f>
        <v>38</v>
      </c>
      <c r="AO58" s="249" cm="1">
        <f t="array" ref="AO58">SUMPRODUCT(
  ('Regional allocations LIVE'!$H$4:$H$269=$O58) *
  ('Regional allocations LIVE'!$D$4:$D$269&lt;AP$4) *
  (ISNUMBER('Regional allocations LIVE'!$D$4:$D$269)) *
  (('Regional allocations LIVE'!$R$4:$R$269="") + ('Regional allocations LIVE'!$R$4:$R$269&gt;=AP$4)) *
  'Regional allocations LIVE'!$T$4:$T$269)</f>
        <v>38</v>
      </c>
      <c r="AP58" s="249" cm="1">
        <f t="array" ref="AP58">SUMPRODUCT(
  ('Regional allocations LIVE'!$H$4:$H$269=$O58) *
  ('Regional allocations LIVE'!$D$4:$D$269&lt;AQ$4) *
  (ISNUMBER('Regional allocations LIVE'!$D$4:$D$269)) *
  (('Regional allocations LIVE'!$R$4:$R$269="") + ('Regional allocations LIVE'!$R$4:$R$269&gt;=AQ$4)) *
  'Regional allocations LIVE'!$T$4:$T$269)</f>
        <v>38</v>
      </c>
      <c r="AQ58" s="249" cm="1">
        <f t="array" ref="AQ58">SUMPRODUCT(
  ('Regional allocations LIVE'!$H$4:$H$269=$O58) *
  ('Regional allocations LIVE'!$D$4:$D$269&lt;AR$4) *
  (ISNUMBER('Regional allocations LIVE'!$D$4:$D$269)) *
  (('Regional allocations LIVE'!$R$4:$R$269="") + ('Regional allocations LIVE'!$R$4:$R$269&gt;=AR$4)) *
  'Regional allocations LIVE'!$T$4:$T$269)</f>
        <v>38</v>
      </c>
      <c r="AR58" s="249" cm="1">
        <f t="array" ref="AR58">SUMPRODUCT(
  ('Regional allocations LIVE'!$H$4:$H$269=$O58) *
  ('Regional allocations LIVE'!$D$4:$D$269&lt;AS$4) *
  (ISNUMBER('Regional allocations LIVE'!$D$4:$D$269)) *
  (('Regional allocations LIVE'!$R$4:$R$269="") + ('Regional allocations LIVE'!$R$4:$R$269&gt;=AS$4)) *
  'Regional allocations LIVE'!$T$4:$T$269)</f>
        <v>38</v>
      </c>
      <c r="AS58" s="249" cm="1">
        <f t="array" ref="AS58">SUMPRODUCT(
  ('Regional allocations LIVE'!$H$4:$H$269=$O58) *
  ('Regional allocations LIVE'!$D$4:$D$269&lt;AT$4) *
  (ISNUMBER('Regional allocations LIVE'!$D$4:$D$269)) *
  (('Regional allocations LIVE'!$R$4:$R$269="") + ('Regional allocations LIVE'!$R$4:$R$269&gt;=AT$4)) *
  'Regional allocations LIVE'!$T$4:$T$269)</f>
        <v>38</v>
      </c>
      <c r="AT58" s="249" cm="1">
        <f t="array" ref="AT58">SUMPRODUCT(
  ('Regional allocations LIVE'!$H$4:$H$269=$O58) *
  ('Regional allocations LIVE'!$D$4:$D$269&lt;AU$4) *
  (ISNUMBER('Regional allocations LIVE'!$D$4:$D$269)) *
  (('Regional allocations LIVE'!$R$4:$R$269="") + ('Regional allocations LIVE'!$R$4:$R$269&gt;=AU$4)) *
  'Regional allocations LIVE'!$T$4:$T$269)</f>
        <v>38</v>
      </c>
      <c r="AU58" s="249" cm="1">
        <f t="array" ref="AU58">SUMPRODUCT(
  ('Regional allocations LIVE'!$H$4:$H$269=$O58) *
  ('Regional allocations LIVE'!$D$4:$D$269&lt;AV$4) *
  (ISNUMBER('Regional allocations LIVE'!$D$4:$D$269)) *
  (('Regional allocations LIVE'!$R$4:$R$269="") + ('Regional allocations LIVE'!$R$4:$R$269&gt;=AV$4)) *
  'Regional allocations LIVE'!$T$4:$T$269)</f>
        <v>38</v>
      </c>
      <c r="AV58" s="249" cm="1">
        <f t="array" ref="AV58">SUMPRODUCT(
  ('Regional allocations LIVE'!$H$4:$H$269=$O58) *
  ('Regional allocations LIVE'!$D$4:$D$269&lt;AW$4) *
  (ISNUMBER('Regional allocations LIVE'!$D$4:$D$269)) *
  (('Regional allocations LIVE'!$R$4:$R$269="") + ('Regional allocations LIVE'!$R$4:$R$269&gt;=AW$4)) *
  'Regional allocations LIVE'!$T$4:$T$269)</f>
        <v>38</v>
      </c>
      <c r="AW58" s="249" cm="1">
        <f t="array" ref="AW58">SUMPRODUCT(
  ('Regional allocations LIVE'!$H$4:$H$269=$O58) *
  ('Regional allocations LIVE'!$D$4:$D$269&lt;AX$4) *
  (ISNUMBER('Regional allocations LIVE'!$D$4:$D$269)) *
  (('Regional allocations LIVE'!$R$4:$R$269="") + ('Regional allocations LIVE'!$R$4:$R$269&gt;=AX$4)) *
  'Regional allocations LIVE'!$T$4:$T$269)</f>
        <v>38</v>
      </c>
      <c r="AX58" s="249" cm="1">
        <f t="array" ref="AX58">SUMPRODUCT(
  ('Regional allocations LIVE'!$H$4:$H$269=$O58) *
  ('Regional allocations LIVE'!$D$4:$D$269&lt;AY$4) *
  (ISNUMBER('Regional allocations LIVE'!$D$4:$D$269)) *
  (('Regional allocations LIVE'!$R$4:$R$269="") + ('Regional allocations LIVE'!$R$4:$R$269&gt;=AY$4)) *
  'Regional allocations LIVE'!$T$4:$T$269)</f>
        <v>38</v>
      </c>
      <c r="AY58" s="249" cm="1">
        <f t="array" ref="AY58">SUMPRODUCT(
  ('Regional allocations LIVE'!$H$4:$H$269=$O58) *
  ('Regional allocations LIVE'!$D$4:$D$269&lt;AZ$4) *
  (ISNUMBER('Regional allocations LIVE'!$D$4:$D$269)) *
  (('Regional allocations LIVE'!$R$4:$R$269="") + ('Regional allocations LIVE'!$R$4:$R$269&gt;=AZ$4)) *
  'Regional allocations LIVE'!$T$4:$T$269)</f>
        <v>38</v>
      </c>
      <c r="AZ58" s="249" cm="1">
        <f t="array" ref="AZ58">SUMPRODUCT(
  ('Regional allocations LIVE'!$H$4:$H$269=$O58) *
  ('Regional allocations LIVE'!$D$4:$D$269&lt;BA$4) *
  (ISNUMBER('Regional allocations LIVE'!$D$4:$D$269)) *
  (('Regional allocations LIVE'!$R$4:$R$269="") + ('Regional allocations LIVE'!$R$4:$R$269&gt;=BA$4)) *
  'Regional allocations LIVE'!$T$4:$T$269)</f>
        <v>38</v>
      </c>
      <c r="BA58" s="249" cm="1">
        <f t="array" ref="BA58">SUMPRODUCT(
  ('Regional allocations LIVE'!$H$4:$H$269=$O58) *
  ('Regional allocations LIVE'!$D$4:$D$269&lt;BB$4) *
  (ISNUMBER('Regional allocations LIVE'!$D$4:$D$269)) *
  (('Regional allocations LIVE'!$R$4:$R$269="") + ('Regional allocations LIVE'!$R$4:$R$269&gt;=BB$4)) *
  'Regional allocations LIVE'!$T$4:$T$269)</f>
        <v>38</v>
      </c>
      <c r="BB58" s="249" cm="1">
        <f t="array" ref="BB58">SUMPRODUCT(
  ('Regional allocations LIVE'!$H$4:$H$269=$O58) *
  ('Regional allocations LIVE'!$D$4:$D$269&lt;BC$4) *
  (ISNUMBER('Regional allocations LIVE'!$D$4:$D$269)) *
  (('Regional allocations LIVE'!$R$4:$R$269="") + ('Regional allocations LIVE'!$R$4:$R$269&gt;=BC$4)) *
  'Regional allocations LIVE'!$T$4:$T$269)</f>
        <v>38</v>
      </c>
      <c r="BC58" s="249" cm="1">
        <f t="array" ref="BC58">SUMPRODUCT(
  ('Regional allocations LIVE'!$H$4:$H$269=$O58) *
  ('Regional allocations LIVE'!$D$4:$D$269&lt;BD$4) *
  (ISNUMBER('Regional allocations LIVE'!$D$4:$D$269)) *
  (('Regional allocations LIVE'!$R$4:$R$269="") + ('Regional allocations LIVE'!$R$4:$R$269&gt;=BD$4)) *
  'Regional allocations LIVE'!$T$4:$T$269)</f>
        <v>38</v>
      </c>
      <c r="BD58" s="249" cm="1">
        <f t="array" ref="BD58">SUMPRODUCT(
  ('Regional allocations LIVE'!$H$4:$H$269=$O58) *
  ('Regional allocations LIVE'!$D$4:$D$269&lt;BE$4) *
  (ISNUMBER('Regional allocations LIVE'!$D$4:$D$269)) *
  (('Regional allocations LIVE'!$R$4:$R$269="") + ('Regional allocations LIVE'!$R$4:$R$269&gt;=BE$4)) *
  'Regional allocations LIVE'!$T$4:$T$269)</f>
        <v>38</v>
      </c>
    </row>
    <row r="59" spans="2:59" ht="12.75" x14ac:dyDescent="0.2">
      <c r="B59"/>
      <c r="C59"/>
      <c r="D59"/>
      <c r="O59" s="119" t="s">
        <v>63</v>
      </c>
      <c r="Q59" s="49" t="s">
        <v>63</v>
      </c>
      <c r="R59" s="168"/>
      <c r="S59" s="168"/>
      <c r="T59" s="168"/>
      <c r="U59" s="247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250" cm="1">
        <f t="array" ref="AG59">SUMPRODUCT(
  ('Regional allocations LIVE'!$H$4:$H$269=$O59) *
  ('Regional allocations LIVE'!$D$4:$D$269&lt;AH$4) *
  (ISNUMBER('Regional allocations LIVE'!$D$4:$D$269)) *
  (('Regional allocations LIVE'!$R$4:$R$269="") + ('Regional allocations LIVE'!$R$4:$R$269&gt;=AH$4)) *
  'Regional allocations LIVE'!$T$4:$T$269)</f>
        <v>6.82</v>
      </c>
      <c r="AH59" s="250" cm="1">
        <f t="array" ref="AH59">SUMPRODUCT(
  ('Regional allocations LIVE'!$H$4:$H$269=$O59) *
  ('Regional allocations LIVE'!$D$4:$D$269&lt;AI$4) *
  (ISNUMBER('Regional allocations LIVE'!$D$4:$D$269)) *
  (('Regional allocations LIVE'!$R$4:$R$269="") + ('Regional allocations LIVE'!$R$4:$R$269&gt;=AI$4)) *
  'Regional allocations LIVE'!$T$4:$T$269)</f>
        <v>7.0200000000000005</v>
      </c>
      <c r="AI59" s="249" cm="1">
        <f t="array" ref="AI59">SUMPRODUCT(
  ('Regional allocations LIVE'!$H$4:$H$269=$O59) *
  ('Regional allocations LIVE'!$D$4:$D$269&lt;AJ$4) *
  (ISNUMBER('Regional allocations LIVE'!$D$4:$D$269)) *
  (('Regional allocations LIVE'!$R$4:$R$269="") + ('Regional allocations LIVE'!$R$4:$R$269&gt;=AJ$4)) *
  'Regional allocations LIVE'!$T$4:$T$269)</f>
        <v>6.0200000000000005</v>
      </c>
      <c r="AJ59" s="249" cm="1">
        <f t="array" ref="AJ59">SUMPRODUCT(
  ('Regional allocations LIVE'!$H$4:$H$269=$O59) *
  ('Regional allocations LIVE'!$D$4:$D$269&lt;AK$4) *
  (ISNUMBER('Regional allocations LIVE'!$D$4:$D$269)) *
  (('Regional allocations LIVE'!$R$4:$R$269="") + ('Regional allocations LIVE'!$R$4:$R$269&gt;=AK$4)) *
  'Regional allocations LIVE'!$T$4:$T$269)</f>
        <v>6.0200000000000005</v>
      </c>
      <c r="AK59" s="276" cm="1">
        <f t="array" ref="AK59">SUMPRODUCT(
  ('Regional allocations LIVE'!$H$4:$H$269=$O59) *
  ('Regional allocations LIVE'!$D$4:$D$269&lt;AL$4) *
  (ISNUMBER('Regional allocations LIVE'!$D$4:$D$269)) *
  (('Regional allocations LIVE'!$R$4:$R$269="") + ('Regional allocations LIVE'!$R$4:$R$269&gt;=AL$4)) *
  'Regional allocations LIVE'!$T$4:$T$269)</f>
        <v>6.0200000000000005</v>
      </c>
      <c r="AL59" s="249" cm="1">
        <f t="array" ref="AL59">SUMPRODUCT(
  ('Regional allocations LIVE'!$H$4:$H$269=$O59) *
  ('Regional allocations LIVE'!$D$4:$D$269&lt;AM$4) *
  (ISNUMBER('Regional allocations LIVE'!$D$4:$D$269)) *
  (('Regional allocations LIVE'!$R$4:$R$269="") + ('Regional allocations LIVE'!$R$4:$R$269&gt;=AM$4)) *
  'Regional allocations LIVE'!$T$4:$T$269)</f>
        <v>6.0200000000000005</v>
      </c>
      <c r="AM59" s="249" cm="1">
        <f t="array" ref="AM59">SUMPRODUCT(
  ('Regional allocations LIVE'!$H$4:$H$269=$O59) *
  ('Regional allocations LIVE'!$D$4:$D$269&lt;AN$4) *
  (ISNUMBER('Regional allocations LIVE'!$D$4:$D$269)) *
  (('Regional allocations LIVE'!$R$4:$R$269="") + ('Regional allocations LIVE'!$R$4:$R$269&gt;=AN$4)) *
  'Regional allocations LIVE'!$T$4:$T$269)</f>
        <v>6.0200000000000005</v>
      </c>
      <c r="AN59" s="249" cm="1">
        <f t="array" ref="AN59">SUMPRODUCT(
  ('Regional allocations LIVE'!$H$4:$H$269=$O59) *
  ('Regional allocations LIVE'!$D$4:$D$269&lt;AO$4) *
  (ISNUMBER('Regional allocations LIVE'!$D$4:$D$269)) *
  (('Regional allocations LIVE'!$R$4:$R$269="") + ('Regional allocations LIVE'!$R$4:$R$269&gt;=AO$4)) *
  'Regional allocations LIVE'!$T$4:$T$269)</f>
        <v>6.0200000000000005</v>
      </c>
      <c r="AO59" s="249" cm="1">
        <f t="array" ref="AO59">SUMPRODUCT(
  ('Regional allocations LIVE'!$H$4:$H$269=$O59) *
  ('Regional allocations LIVE'!$D$4:$D$269&lt;AP$4) *
  (ISNUMBER('Regional allocations LIVE'!$D$4:$D$269)) *
  (('Regional allocations LIVE'!$R$4:$R$269="") + ('Regional allocations LIVE'!$R$4:$R$269&gt;=AP$4)) *
  'Regional allocations LIVE'!$T$4:$T$269)</f>
        <v>6.0200000000000005</v>
      </c>
      <c r="AP59" s="249" cm="1">
        <f t="array" ref="AP59">SUMPRODUCT(
  ('Regional allocations LIVE'!$H$4:$H$269=$O59) *
  ('Regional allocations LIVE'!$D$4:$D$269&lt;AQ$4) *
  (ISNUMBER('Regional allocations LIVE'!$D$4:$D$269)) *
  (('Regional allocations LIVE'!$R$4:$R$269="") + ('Regional allocations LIVE'!$R$4:$R$269&gt;=AQ$4)) *
  'Regional allocations LIVE'!$T$4:$T$269)</f>
        <v>6.0200000000000005</v>
      </c>
      <c r="AQ59" s="249" cm="1">
        <f t="array" ref="AQ59">SUMPRODUCT(
  ('Regional allocations LIVE'!$H$4:$H$269=$O59) *
  ('Regional allocations LIVE'!$D$4:$D$269&lt;AR$4) *
  (ISNUMBER('Regional allocations LIVE'!$D$4:$D$269)) *
  (('Regional allocations LIVE'!$R$4:$R$269="") + ('Regional allocations LIVE'!$R$4:$R$269&gt;=AR$4)) *
  'Regional allocations LIVE'!$T$4:$T$269)</f>
        <v>6.0200000000000005</v>
      </c>
      <c r="AR59" s="249" cm="1">
        <f t="array" ref="AR59">SUMPRODUCT(
  ('Regional allocations LIVE'!$H$4:$H$269=$O59) *
  ('Regional allocations LIVE'!$D$4:$D$269&lt;AS$4) *
  (ISNUMBER('Regional allocations LIVE'!$D$4:$D$269)) *
  (('Regional allocations LIVE'!$R$4:$R$269="") + ('Regional allocations LIVE'!$R$4:$R$269&gt;=AS$4)) *
  'Regional allocations LIVE'!$T$4:$T$269)</f>
        <v>6.0200000000000005</v>
      </c>
      <c r="AS59" s="249" cm="1">
        <f t="array" ref="AS59">SUMPRODUCT(
  ('Regional allocations LIVE'!$H$4:$H$269=$O59) *
  ('Regional allocations LIVE'!$D$4:$D$269&lt;AT$4) *
  (ISNUMBER('Regional allocations LIVE'!$D$4:$D$269)) *
  (('Regional allocations LIVE'!$R$4:$R$269="") + ('Regional allocations LIVE'!$R$4:$R$269&gt;=AT$4)) *
  'Regional allocations LIVE'!$T$4:$T$269)</f>
        <v>6.0200000000000005</v>
      </c>
      <c r="AT59" s="249" cm="1">
        <f t="array" ref="AT59">SUMPRODUCT(
  ('Regional allocations LIVE'!$H$4:$H$269=$O59) *
  ('Regional allocations LIVE'!$D$4:$D$269&lt;AU$4) *
  (ISNUMBER('Regional allocations LIVE'!$D$4:$D$269)) *
  (('Regional allocations LIVE'!$R$4:$R$269="") + ('Regional allocations LIVE'!$R$4:$R$269&gt;=AU$4)) *
  'Regional allocations LIVE'!$T$4:$T$269)</f>
        <v>6.0200000000000005</v>
      </c>
      <c r="AU59" s="249" cm="1">
        <f t="array" ref="AU59">SUMPRODUCT(
  ('Regional allocations LIVE'!$H$4:$H$269=$O59) *
  ('Regional allocations LIVE'!$D$4:$D$269&lt;AV$4) *
  (ISNUMBER('Regional allocations LIVE'!$D$4:$D$269)) *
  (('Regional allocations LIVE'!$R$4:$R$269="") + ('Regional allocations LIVE'!$R$4:$R$269&gt;=AV$4)) *
  'Regional allocations LIVE'!$T$4:$T$269)</f>
        <v>6.0200000000000005</v>
      </c>
      <c r="AV59" s="249" cm="1">
        <f t="array" ref="AV59">SUMPRODUCT(
  ('Regional allocations LIVE'!$H$4:$H$269=$O59) *
  ('Regional allocations LIVE'!$D$4:$D$269&lt;AW$4) *
  (ISNUMBER('Regional allocations LIVE'!$D$4:$D$269)) *
  (('Regional allocations LIVE'!$R$4:$R$269="") + ('Regional allocations LIVE'!$R$4:$R$269&gt;=AW$4)) *
  'Regional allocations LIVE'!$T$4:$T$269)</f>
        <v>6.0200000000000005</v>
      </c>
      <c r="AW59" s="249" cm="1">
        <f t="array" ref="AW59">SUMPRODUCT(
  ('Regional allocations LIVE'!$H$4:$H$269=$O59) *
  ('Regional allocations LIVE'!$D$4:$D$269&lt;AX$4) *
  (ISNUMBER('Regional allocations LIVE'!$D$4:$D$269)) *
  (('Regional allocations LIVE'!$R$4:$R$269="") + ('Regional allocations LIVE'!$R$4:$R$269&gt;=AX$4)) *
  'Regional allocations LIVE'!$T$4:$T$269)</f>
        <v>6.0200000000000005</v>
      </c>
      <c r="AX59" s="249" cm="1">
        <f t="array" ref="AX59">SUMPRODUCT(
  ('Regional allocations LIVE'!$H$4:$H$269=$O59) *
  ('Regional allocations LIVE'!$D$4:$D$269&lt;AY$4) *
  (ISNUMBER('Regional allocations LIVE'!$D$4:$D$269)) *
  (('Regional allocations LIVE'!$R$4:$R$269="") + ('Regional allocations LIVE'!$R$4:$R$269&gt;=AY$4)) *
  'Regional allocations LIVE'!$T$4:$T$269)</f>
        <v>6.0200000000000005</v>
      </c>
      <c r="AY59" s="249" cm="1">
        <f t="array" ref="AY59">SUMPRODUCT(
  ('Regional allocations LIVE'!$H$4:$H$269=$O59) *
  ('Regional allocations LIVE'!$D$4:$D$269&lt;AZ$4) *
  (ISNUMBER('Regional allocations LIVE'!$D$4:$D$269)) *
  (('Regional allocations LIVE'!$R$4:$R$269="") + ('Regional allocations LIVE'!$R$4:$R$269&gt;=AZ$4)) *
  'Regional allocations LIVE'!$T$4:$T$269)</f>
        <v>6.0200000000000005</v>
      </c>
      <c r="AZ59" s="249" cm="1">
        <f t="array" ref="AZ59">SUMPRODUCT(
  ('Regional allocations LIVE'!$H$4:$H$269=$O59) *
  ('Regional allocations LIVE'!$D$4:$D$269&lt;BA$4) *
  (ISNUMBER('Regional allocations LIVE'!$D$4:$D$269)) *
  (('Regional allocations LIVE'!$R$4:$R$269="") + ('Regional allocations LIVE'!$R$4:$R$269&gt;=BA$4)) *
  'Regional allocations LIVE'!$T$4:$T$269)</f>
        <v>6.0200000000000005</v>
      </c>
      <c r="BA59" s="249" cm="1">
        <f t="array" ref="BA59">SUMPRODUCT(
  ('Regional allocations LIVE'!$H$4:$H$269=$O59) *
  ('Regional allocations LIVE'!$D$4:$D$269&lt;BB$4) *
  (ISNUMBER('Regional allocations LIVE'!$D$4:$D$269)) *
  (('Regional allocations LIVE'!$R$4:$R$269="") + ('Regional allocations LIVE'!$R$4:$R$269&gt;=BB$4)) *
  'Regional allocations LIVE'!$T$4:$T$269)</f>
        <v>6.0200000000000005</v>
      </c>
      <c r="BB59" s="249" cm="1">
        <f t="array" ref="BB59">SUMPRODUCT(
  ('Regional allocations LIVE'!$H$4:$H$269=$O59) *
  ('Regional allocations LIVE'!$D$4:$D$269&lt;BC$4) *
  (ISNUMBER('Regional allocations LIVE'!$D$4:$D$269)) *
  (('Regional allocations LIVE'!$R$4:$R$269="") + ('Regional allocations LIVE'!$R$4:$R$269&gt;=BC$4)) *
  'Regional allocations LIVE'!$T$4:$T$269)</f>
        <v>6.0200000000000005</v>
      </c>
      <c r="BC59" s="249" cm="1">
        <f t="array" ref="BC59">SUMPRODUCT(
  ('Regional allocations LIVE'!$H$4:$H$269=$O59) *
  ('Regional allocations LIVE'!$D$4:$D$269&lt;BD$4) *
  (ISNUMBER('Regional allocations LIVE'!$D$4:$D$269)) *
  (('Regional allocations LIVE'!$R$4:$R$269="") + ('Regional allocations LIVE'!$R$4:$R$269&gt;=BD$4)) *
  'Regional allocations LIVE'!$T$4:$T$269)</f>
        <v>6.0200000000000005</v>
      </c>
      <c r="BD59" s="249" cm="1">
        <f t="array" ref="BD59">SUMPRODUCT(
  ('Regional allocations LIVE'!$H$4:$H$269=$O59) *
  ('Regional allocations LIVE'!$D$4:$D$269&lt;BE$4) *
  (ISNUMBER('Regional allocations LIVE'!$D$4:$D$269)) *
  (('Regional allocations LIVE'!$R$4:$R$269="") + ('Regional allocations LIVE'!$R$4:$R$269&gt;=BE$4)) *
  'Regional allocations LIVE'!$T$4:$T$269)</f>
        <v>6.0200000000000005</v>
      </c>
    </row>
    <row r="60" spans="2:59" ht="12.75" x14ac:dyDescent="0.2">
      <c r="B60"/>
      <c r="C60"/>
      <c r="D60"/>
      <c r="O60" s="152" t="s">
        <v>106</v>
      </c>
      <c r="Q60" s="152" t="s">
        <v>106</v>
      </c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269" cm="1">
        <f t="array" ref="AG60">SUMPRODUCT(
  ('Regional allocations LIVE'!$H$4:$H$269=$O60) *
  ('Regional allocations LIVE'!$D$4:$D$269&lt;AH$4) *
  (ISNUMBER('Regional allocations LIVE'!$D$4:$D$269)) *
  (('Regional allocations LIVE'!$R$4:$R$269="") + ('Regional allocations LIVE'!$R$4:$R$269&gt;=AH$4)) *
  'Regional allocations LIVE'!$T$4:$T$269)</f>
        <v>12.8</v>
      </c>
      <c r="AH60" s="270" cm="1">
        <f t="array" ref="AH60">SUMPRODUCT(
  ('Regional allocations LIVE'!$H$4:$H$269=$O60) *
  ('Regional allocations LIVE'!$D$4:$D$269&lt;AI$4) *
  (ISNUMBER('Regional allocations LIVE'!$D$4:$D$269)) *
  (('Regional allocations LIVE'!$R$4:$R$269="") + ('Regional allocations LIVE'!$R$4:$R$269&gt;=AI$4)) *
  'Regional allocations LIVE'!$T$4:$T$269)</f>
        <v>13.100000000000001</v>
      </c>
      <c r="AI60" s="270" cm="1">
        <f t="array" ref="AI60">SUMPRODUCT(
  ('Regional allocations LIVE'!$H$4:$H$269=$O60) *
  ('Regional allocations LIVE'!$D$4:$D$269&lt;AJ$4) *
  (ISNUMBER('Regional allocations LIVE'!$D$4:$D$269)) *
  (('Regional allocations LIVE'!$R$4:$R$269="") + ('Regional allocations LIVE'!$R$4:$R$269&gt;=AJ$4)) *
  'Regional allocations LIVE'!$T$4:$T$269)</f>
        <v>14.100000000000001</v>
      </c>
      <c r="AJ60" s="270" cm="1">
        <f t="array" ref="AJ60">SUMPRODUCT(
  ('Regional allocations LIVE'!$H$4:$H$269=$O60) *
  ('Regional allocations LIVE'!$D$4:$D$269&lt;AK$4) *
  (ISNUMBER('Regional allocations LIVE'!$D$4:$D$269)) *
  (('Regional allocations LIVE'!$R$4:$R$269="") + ('Regional allocations LIVE'!$R$4:$R$269&gt;=AK$4)) *
  'Regional allocations LIVE'!$T$4:$T$269)</f>
        <v>14.100000000000001</v>
      </c>
      <c r="AK60" s="270" cm="1">
        <f t="array" ref="AK60">SUMPRODUCT(
  ('Regional allocations LIVE'!$H$4:$H$269=$O60) *
  ('Regional allocations LIVE'!$D$4:$D$269&lt;AL$4) *
  (ISNUMBER('Regional allocations LIVE'!$D$4:$D$269)) *
  (('Regional allocations LIVE'!$R$4:$R$269="") + ('Regional allocations LIVE'!$R$4:$R$269&gt;=AL$4)) *
  'Regional allocations LIVE'!$T$4:$T$269)</f>
        <v>14.100000000000001</v>
      </c>
      <c r="AL60" s="270" cm="1">
        <f t="array" ref="AL60">SUMPRODUCT(
  ('Regional allocations LIVE'!$H$4:$H$269=$O60) *
  ('Regional allocations LIVE'!$D$4:$D$269&lt;AM$4) *
  (ISNUMBER('Regional allocations LIVE'!$D$4:$D$269)) *
  (('Regional allocations LIVE'!$R$4:$R$269="") + ('Regional allocations LIVE'!$R$4:$R$269&gt;=AM$4)) *
  'Regional allocations LIVE'!$T$4:$T$269)</f>
        <v>14.100000000000001</v>
      </c>
      <c r="AM60" s="270" cm="1">
        <f t="array" ref="AM60">SUMPRODUCT(
  ('Regional allocations LIVE'!$H$4:$H$269=$O60) *
  ('Regional allocations LIVE'!$D$4:$D$269&lt;AN$4) *
  (ISNUMBER('Regional allocations LIVE'!$D$4:$D$269)) *
  (('Regional allocations LIVE'!$R$4:$R$269="") + ('Regional allocations LIVE'!$R$4:$R$269&gt;=AN$4)) *
  'Regional allocations LIVE'!$T$4:$T$269)</f>
        <v>14.100000000000001</v>
      </c>
      <c r="AN60" s="270" cm="1">
        <f t="array" ref="AN60">SUMPRODUCT(
  ('Regional allocations LIVE'!$H$4:$H$269=$O60) *
  ('Regional allocations LIVE'!$D$4:$D$269&lt;AO$4) *
  (ISNUMBER('Regional allocations LIVE'!$D$4:$D$269)) *
  (('Regional allocations LIVE'!$R$4:$R$269="") + ('Regional allocations LIVE'!$R$4:$R$269&gt;=AO$4)) *
  'Regional allocations LIVE'!$T$4:$T$269)</f>
        <v>14.100000000000001</v>
      </c>
      <c r="AO60" s="271" cm="1">
        <f t="array" ref="AO60">SUMPRODUCT(
  ('Regional allocations LIVE'!$H$4:$H$269=$O60) *
  ('Regional allocations LIVE'!$D$4:$D$269&lt;AP$4) *
  (ISNUMBER('Regional allocations LIVE'!$D$4:$D$269)) *
  (('Regional allocations LIVE'!$R$4:$R$269="") + ('Regional allocations LIVE'!$R$4:$R$269&gt;=AP$4)) *
  'Regional allocations LIVE'!$T$4:$T$269)</f>
        <v>14.100000000000001</v>
      </c>
      <c r="AP60" s="271" cm="1">
        <f t="array" ref="AP60">SUMPRODUCT(
  ('Regional allocations LIVE'!$H$4:$H$269=$O60) *
  ('Regional allocations LIVE'!$D$4:$D$269&lt;AQ$4) *
  (ISNUMBER('Regional allocations LIVE'!$D$4:$D$269)) *
  (('Regional allocations LIVE'!$R$4:$R$269="") + ('Regional allocations LIVE'!$R$4:$R$269&gt;=AQ$4)) *
  'Regional allocations LIVE'!$T$4:$T$269)</f>
        <v>14.100000000000001</v>
      </c>
      <c r="AQ60" s="271" cm="1">
        <f t="array" ref="AQ60">SUMPRODUCT(
  ('Regional allocations LIVE'!$H$4:$H$269=$O60) *
  ('Regional allocations LIVE'!$D$4:$D$269&lt;AR$4) *
  (ISNUMBER('Regional allocations LIVE'!$D$4:$D$269)) *
  (('Regional allocations LIVE'!$R$4:$R$269="") + ('Regional allocations LIVE'!$R$4:$R$269&gt;=AR$4)) *
  'Regional allocations LIVE'!$T$4:$T$269)</f>
        <v>14.100000000000001</v>
      </c>
      <c r="AR60" s="271" cm="1">
        <f t="array" ref="AR60">SUMPRODUCT(
  ('Regional allocations LIVE'!$H$4:$H$269=$O60) *
  ('Regional allocations LIVE'!$D$4:$D$269&lt;AS$4) *
  (ISNUMBER('Regional allocations LIVE'!$D$4:$D$269)) *
  (('Regional allocations LIVE'!$R$4:$R$269="") + ('Regional allocations LIVE'!$R$4:$R$269&gt;=AS$4)) *
  'Regional allocations LIVE'!$T$4:$T$269)</f>
        <v>14.100000000000001</v>
      </c>
      <c r="AS60" s="271" cm="1">
        <f t="array" ref="AS60">SUMPRODUCT(
  ('Regional allocations LIVE'!$H$4:$H$269=$O60) *
  ('Regional allocations LIVE'!$D$4:$D$269&lt;AT$4) *
  (ISNUMBER('Regional allocations LIVE'!$D$4:$D$269)) *
  (('Regional allocations LIVE'!$R$4:$R$269="") + ('Regional allocations LIVE'!$R$4:$R$269&gt;=AT$4)) *
  'Regional allocations LIVE'!$T$4:$T$269)</f>
        <v>14.100000000000001</v>
      </c>
      <c r="AT60" s="271" cm="1">
        <f t="array" ref="AT60">SUMPRODUCT(
  ('Regional allocations LIVE'!$H$4:$H$269=$O60) *
  ('Regional allocations LIVE'!$D$4:$D$269&lt;AU$4) *
  (ISNUMBER('Regional allocations LIVE'!$D$4:$D$269)) *
  (('Regional allocations LIVE'!$R$4:$R$269="") + ('Regional allocations LIVE'!$R$4:$R$269&gt;=AU$4)) *
  'Regional allocations LIVE'!$T$4:$T$269)</f>
        <v>14.100000000000001</v>
      </c>
      <c r="AU60" s="271" cm="1">
        <f t="array" ref="AU60">SUMPRODUCT(
  ('Regional allocations LIVE'!$H$4:$H$269=$O60) *
  ('Regional allocations LIVE'!$D$4:$D$269&lt;AV$4) *
  (ISNUMBER('Regional allocations LIVE'!$D$4:$D$269)) *
  (('Regional allocations LIVE'!$R$4:$R$269="") + ('Regional allocations LIVE'!$R$4:$R$269&gt;=AV$4)) *
  'Regional allocations LIVE'!$T$4:$T$269)</f>
        <v>14.100000000000001</v>
      </c>
      <c r="AV60" s="271" cm="1">
        <f t="array" ref="AV60">SUMPRODUCT(
  ('Regional allocations LIVE'!$H$4:$H$269=$O60) *
  ('Regional allocations LIVE'!$D$4:$D$269&lt;AW$4) *
  (ISNUMBER('Regional allocations LIVE'!$D$4:$D$269)) *
  (('Regional allocations LIVE'!$R$4:$R$269="") + ('Regional allocations LIVE'!$R$4:$R$269&gt;=AW$4)) *
  'Regional allocations LIVE'!$T$4:$T$269)</f>
        <v>14.100000000000001</v>
      </c>
      <c r="AW60" s="271" cm="1">
        <f t="array" ref="AW60">SUMPRODUCT(
  ('Regional allocations LIVE'!$H$4:$H$269=$O60) *
  ('Regional allocations LIVE'!$D$4:$D$269&lt;AX$4) *
  (ISNUMBER('Regional allocations LIVE'!$D$4:$D$269)) *
  (('Regional allocations LIVE'!$R$4:$R$269="") + ('Regional allocations LIVE'!$R$4:$R$269&gt;=AX$4)) *
  'Regional allocations LIVE'!$T$4:$T$269)</f>
        <v>14.100000000000001</v>
      </c>
      <c r="AX60" s="271" cm="1">
        <f t="array" ref="AX60">SUMPRODUCT(
  ('Regional allocations LIVE'!$H$4:$H$269=$O60) *
  ('Regional allocations LIVE'!$D$4:$D$269&lt;AY$4) *
  (ISNUMBER('Regional allocations LIVE'!$D$4:$D$269)) *
  (('Regional allocations LIVE'!$R$4:$R$269="") + ('Regional allocations LIVE'!$R$4:$R$269&gt;=AY$4)) *
  'Regional allocations LIVE'!$T$4:$T$269)</f>
        <v>14.100000000000001</v>
      </c>
      <c r="AY60" s="271" cm="1">
        <f t="array" ref="AY60">SUMPRODUCT(
  ('Regional allocations LIVE'!$H$4:$H$269=$O60) *
  ('Regional allocations LIVE'!$D$4:$D$269&lt;AZ$4) *
  (ISNUMBER('Regional allocations LIVE'!$D$4:$D$269)) *
  (('Regional allocations LIVE'!$R$4:$R$269="") + ('Regional allocations LIVE'!$R$4:$R$269&gt;=AZ$4)) *
  'Regional allocations LIVE'!$T$4:$T$269)</f>
        <v>14.100000000000001</v>
      </c>
      <c r="AZ60" s="271" cm="1">
        <f t="array" ref="AZ60">SUMPRODUCT(
  ('Regional allocations LIVE'!$H$4:$H$269=$O60) *
  ('Regional allocations LIVE'!$D$4:$D$269&lt;BA$4) *
  (ISNUMBER('Regional allocations LIVE'!$D$4:$D$269)) *
  (('Regional allocations LIVE'!$R$4:$R$269="") + ('Regional allocations LIVE'!$R$4:$R$269&gt;=BA$4)) *
  'Regional allocations LIVE'!$T$4:$T$269)</f>
        <v>14.100000000000001</v>
      </c>
      <c r="BA60" s="271" cm="1">
        <f t="array" ref="BA60">SUMPRODUCT(
  ('Regional allocations LIVE'!$H$4:$H$269=$O60) *
  ('Regional allocations LIVE'!$D$4:$D$269&lt;BB$4) *
  (ISNUMBER('Regional allocations LIVE'!$D$4:$D$269)) *
  (('Regional allocations LIVE'!$R$4:$R$269="") + ('Regional allocations LIVE'!$R$4:$R$269&gt;=BB$4)) *
  'Regional allocations LIVE'!$T$4:$T$269)</f>
        <v>14.100000000000001</v>
      </c>
      <c r="BB60" s="271" cm="1">
        <f t="array" ref="BB60">SUMPRODUCT(
  ('Regional allocations LIVE'!$H$4:$H$269=$O60) *
  ('Regional allocations LIVE'!$D$4:$D$269&lt;BC$4) *
  (ISNUMBER('Regional allocations LIVE'!$D$4:$D$269)) *
  (('Regional allocations LIVE'!$R$4:$R$269="") + ('Regional allocations LIVE'!$R$4:$R$269&gt;=BC$4)) *
  'Regional allocations LIVE'!$T$4:$T$269)</f>
        <v>14.100000000000001</v>
      </c>
      <c r="BC60" s="271" cm="1">
        <f t="array" ref="BC60">SUMPRODUCT(
  ('Regional allocations LIVE'!$H$4:$H$269=$O60) *
  ('Regional allocations LIVE'!$D$4:$D$269&lt;BD$4) *
  (ISNUMBER('Regional allocations LIVE'!$D$4:$D$269)) *
  (('Regional allocations LIVE'!$R$4:$R$269="") + ('Regional allocations LIVE'!$R$4:$R$269&gt;=BD$4)) *
  'Regional allocations LIVE'!$T$4:$T$269)</f>
        <v>14.100000000000001</v>
      </c>
      <c r="BD60" s="271" cm="1">
        <f t="array" ref="BD60">SUMPRODUCT(
  ('Regional allocations LIVE'!$H$4:$H$269=$O60) *
  ('Regional allocations LIVE'!$D$4:$D$269&lt;BE$4) *
  (ISNUMBER('Regional allocations LIVE'!$D$4:$D$269)) *
  (('Regional allocations LIVE'!$R$4:$R$269="") + ('Regional allocations LIVE'!$R$4:$R$269&gt;=BE$4)) *
  'Regional allocations LIVE'!$T$4:$T$269)</f>
        <v>14.100000000000001</v>
      </c>
    </row>
    <row r="61" spans="2:59" ht="12.75" x14ac:dyDescent="0.2">
      <c r="B61"/>
      <c r="C61"/>
      <c r="D61"/>
      <c r="O61" s="119" t="s">
        <v>107</v>
      </c>
      <c r="Q61" s="167" t="s">
        <v>107</v>
      </c>
      <c r="R61" s="168"/>
      <c r="S61" s="168"/>
      <c r="T61" s="168"/>
      <c r="U61" s="247"/>
      <c r="V61" s="168"/>
      <c r="W61" s="168"/>
      <c r="X61" s="168"/>
      <c r="Y61" s="168"/>
      <c r="Z61" s="168"/>
      <c r="AA61" s="168"/>
      <c r="AB61" s="168"/>
      <c r="AC61" s="168"/>
      <c r="AD61" s="168"/>
      <c r="AE61" s="168"/>
      <c r="AF61" s="168"/>
      <c r="AG61" s="249" cm="1">
        <f t="array" ref="AG61">SUMPRODUCT(
  ('Regional allocations LIVE'!$H$4:$H$269=$O61) *
  ('Regional allocations LIVE'!$D$4:$D$269&lt;AH$4) *
  (ISNUMBER('Regional allocations LIVE'!$D$4:$D$269)) *
  (('Regional allocations LIVE'!$R$4:$R$269="") + ('Regional allocations LIVE'!$R$4:$R$269&gt;=AH$4)) *
  'Regional allocations LIVE'!$T$4:$T$269)</f>
        <v>0</v>
      </c>
      <c r="AH61" s="249" cm="1">
        <f t="array" ref="AH61">SUMPRODUCT(
  ('Regional allocations LIVE'!$H$4:$H$269=$O61) *
  ('Regional allocations LIVE'!$D$4:$D$269&lt;AI$4) *
  (ISNUMBER('Regional allocations LIVE'!$D$4:$D$269)) *
  (('Regional allocations LIVE'!$R$4:$R$269="") + ('Regional allocations LIVE'!$R$4:$R$269&gt;=AI$4)) *
  'Regional allocations LIVE'!$T$4:$T$269)</f>
        <v>0</v>
      </c>
      <c r="AI61" s="249" cm="1">
        <f t="array" ref="AI61">SUMPRODUCT(
  ('Regional allocations LIVE'!$H$4:$H$269=$O61) *
  ('Regional allocations LIVE'!$D$4:$D$269&lt;AJ$4) *
  (ISNUMBER('Regional allocations LIVE'!$D$4:$D$269)) *
  (('Regional allocations LIVE'!$R$4:$R$269="") + ('Regional allocations LIVE'!$R$4:$R$269&gt;=AJ$4)) *
  'Regional allocations LIVE'!$T$4:$T$269)</f>
        <v>0</v>
      </c>
      <c r="AJ61" s="249" cm="1">
        <f t="array" ref="AJ61">SUMPRODUCT(
  ('Regional allocations LIVE'!$H$4:$H$269=$O61) *
  ('Regional allocations LIVE'!$D$4:$D$269&lt;AK$4) *
  (ISNUMBER('Regional allocations LIVE'!$D$4:$D$269)) *
  (('Regional allocations LIVE'!$R$4:$R$269="") + ('Regional allocations LIVE'!$R$4:$R$269&gt;=AK$4)) *
  'Regional allocations LIVE'!$T$4:$T$269)</f>
        <v>0</v>
      </c>
      <c r="AK61" s="249" cm="1">
        <f t="array" ref="AK61">SUMPRODUCT(
  ('Regional allocations LIVE'!$H$4:$H$269=$O61) *
  ('Regional allocations LIVE'!$D$4:$D$269&lt;AL$4) *
  (ISNUMBER('Regional allocations LIVE'!$D$4:$D$269)) *
  (('Regional allocations LIVE'!$R$4:$R$269="") + ('Regional allocations LIVE'!$R$4:$R$269&gt;=AL$4)) *
  'Regional allocations LIVE'!$T$4:$T$269)</f>
        <v>0</v>
      </c>
      <c r="AL61" s="249" cm="1">
        <f t="array" ref="AL61">SUMPRODUCT(
  ('Regional allocations LIVE'!$H$4:$H$269=$O61) *
  ('Regional allocations LIVE'!$D$4:$D$269&lt;AM$4) *
  (ISNUMBER('Regional allocations LIVE'!$D$4:$D$269)) *
  (('Regional allocations LIVE'!$R$4:$R$269="") + ('Regional allocations LIVE'!$R$4:$R$269&gt;=AM$4)) *
  'Regional allocations LIVE'!$T$4:$T$269)</f>
        <v>0</v>
      </c>
      <c r="AM61" s="249" cm="1">
        <f t="array" ref="AM61">SUMPRODUCT(
  ('Regional allocations LIVE'!$H$4:$H$269=$O61) *
  ('Regional allocations LIVE'!$D$4:$D$269&lt;AN$4) *
  (ISNUMBER('Regional allocations LIVE'!$D$4:$D$269)) *
  (('Regional allocations LIVE'!$R$4:$R$269="") + ('Regional allocations LIVE'!$R$4:$R$269&gt;=AN$4)) *
  'Regional allocations LIVE'!$T$4:$T$269)</f>
        <v>0</v>
      </c>
      <c r="AN61" s="249" cm="1">
        <f t="array" ref="AN61">SUMPRODUCT(
  ('Regional allocations LIVE'!$H$4:$H$269=$O61) *
  ('Regional allocations LIVE'!$D$4:$D$269&lt;AO$4) *
  (ISNUMBER('Regional allocations LIVE'!$D$4:$D$269)) *
  (('Regional allocations LIVE'!$R$4:$R$269="") + ('Regional allocations LIVE'!$R$4:$R$269&gt;=AO$4)) *
  'Regional allocations LIVE'!$T$4:$T$269)</f>
        <v>0</v>
      </c>
      <c r="AO61" s="249" cm="1">
        <f t="array" ref="AO61">SUMPRODUCT(
  ('Regional allocations LIVE'!$H$4:$H$269=$O61) *
  ('Regional allocations LIVE'!$D$4:$D$269&lt;AP$4) *
  (ISNUMBER('Regional allocations LIVE'!$D$4:$D$269)) *
  (('Regional allocations LIVE'!$R$4:$R$269="") + ('Regional allocations LIVE'!$R$4:$R$269&gt;=AP$4)) *
  'Regional allocations LIVE'!$T$4:$T$269)</f>
        <v>0</v>
      </c>
      <c r="AP61" s="249" cm="1">
        <f t="array" ref="AP61">SUMPRODUCT(
  ('Regional allocations LIVE'!$H$4:$H$269=$O61) *
  ('Regional allocations LIVE'!$D$4:$D$269&lt;AQ$4) *
  (ISNUMBER('Regional allocations LIVE'!$D$4:$D$269)) *
  (('Regional allocations LIVE'!$R$4:$R$269="") + ('Regional allocations LIVE'!$R$4:$R$269&gt;=AQ$4)) *
  'Regional allocations LIVE'!$T$4:$T$269)</f>
        <v>0</v>
      </c>
      <c r="AQ61" s="249" cm="1">
        <f t="array" ref="AQ61">SUMPRODUCT(
  ('Regional allocations LIVE'!$H$4:$H$269=$O61) *
  ('Regional allocations LIVE'!$D$4:$D$269&lt;AR$4) *
  (ISNUMBER('Regional allocations LIVE'!$D$4:$D$269)) *
  (('Regional allocations LIVE'!$R$4:$R$269="") + ('Regional allocations LIVE'!$R$4:$R$269&gt;=AR$4)) *
  'Regional allocations LIVE'!$T$4:$T$269)</f>
        <v>0</v>
      </c>
      <c r="AR61" s="249" cm="1">
        <f t="array" ref="AR61">SUMPRODUCT(
  ('Regional allocations LIVE'!$H$4:$H$269=$O61) *
  ('Regional allocations LIVE'!$D$4:$D$269&lt;AS$4) *
  (ISNUMBER('Regional allocations LIVE'!$D$4:$D$269)) *
  (('Regional allocations LIVE'!$R$4:$R$269="") + ('Regional allocations LIVE'!$R$4:$R$269&gt;=AS$4)) *
  'Regional allocations LIVE'!$T$4:$T$269)</f>
        <v>0</v>
      </c>
      <c r="AS61" s="249" cm="1">
        <f t="array" ref="AS61">SUMPRODUCT(
  ('Regional allocations LIVE'!$H$4:$H$269=$O61) *
  ('Regional allocations LIVE'!$D$4:$D$269&lt;AT$4) *
  (ISNUMBER('Regional allocations LIVE'!$D$4:$D$269)) *
  (('Regional allocations LIVE'!$R$4:$R$269="") + ('Regional allocations LIVE'!$R$4:$R$269&gt;=AT$4)) *
  'Regional allocations LIVE'!$T$4:$T$269)</f>
        <v>0</v>
      </c>
      <c r="AT61" s="249" cm="1">
        <f t="array" ref="AT61">SUMPRODUCT(
  ('Regional allocations LIVE'!$H$4:$H$269=$O61) *
  ('Regional allocations LIVE'!$D$4:$D$269&lt;AU$4) *
  (ISNUMBER('Regional allocations LIVE'!$D$4:$D$269)) *
  (('Regional allocations LIVE'!$R$4:$R$269="") + ('Regional allocations LIVE'!$R$4:$R$269&gt;=AU$4)) *
  'Regional allocations LIVE'!$T$4:$T$269)</f>
        <v>0</v>
      </c>
      <c r="AU61" s="249" cm="1">
        <f t="array" ref="AU61">SUMPRODUCT(
  ('Regional allocations LIVE'!$H$4:$H$269=$O61) *
  ('Regional allocations LIVE'!$D$4:$D$269&lt;AV$4) *
  (ISNUMBER('Regional allocations LIVE'!$D$4:$D$269)) *
  (('Regional allocations LIVE'!$R$4:$R$269="") + ('Regional allocations LIVE'!$R$4:$R$269&gt;=AV$4)) *
  'Regional allocations LIVE'!$T$4:$T$269)</f>
        <v>0</v>
      </c>
      <c r="AV61" s="249" cm="1">
        <f t="array" ref="AV61">SUMPRODUCT(
  ('Regional allocations LIVE'!$H$4:$H$269=$O61) *
  ('Regional allocations LIVE'!$D$4:$D$269&lt;AW$4) *
  (ISNUMBER('Regional allocations LIVE'!$D$4:$D$269)) *
  (('Regional allocations LIVE'!$R$4:$R$269="") + ('Regional allocations LIVE'!$R$4:$R$269&gt;=AW$4)) *
  'Regional allocations LIVE'!$T$4:$T$269)</f>
        <v>0</v>
      </c>
      <c r="AW61" s="249" cm="1">
        <f t="array" ref="AW61">SUMPRODUCT(
  ('Regional allocations LIVE'!$H$4:$H$269=$O61) *
  ('Regional allocations LIVE'!$D$4:$D$269&lt;AX$4) *
  (ISNUMBER('Regional allocations LIVE'!$D$4:$D$269)) *
  (('Regional allocations LIVE'!$R$4:$R$269="") + ('Regional allocations LIVE'!$R$4:$R$269&gt;=AX$4)) *
  'Regional allocations LIVE'!$T$4:$T$269)</f>
        <v>0</v>
      </c>
      <c r="AX61" s="249" cm="1">
        <f t="array" ref="AX61">SUMPRODUCT(
  ('Regional allocations LIVE'!$H$4:$H$269=$O61) *
  ('Regional allocations LIVE'!$D$4:$D$269&lt;AY$4) *
  (ISNUMBER('Regional allocations LIVE'!$D$4:$D$269)) *
  (('Regional allocations LIVE'!$R$4:$R$269="") + ('Regional allocations LIVE'!$R$4:$R$269&gt;=AY$4)) *
  'Regional allocations LIVE'!$T$4:$T$269)</f>
        <v>0</v>
      </c>
      <c r="AY61" s="249" cm="1">
        <f t="array" ref="AY61">SUMPRODUCT(
  ('Regional allocations LIVE'!$H$4:$H$269=$O61) *
  ('Regional allocations LIVE'!$D$4:$D$269&lt;AZ$4) *
  (ISNUMBER('Regional allocations LIVE'!$D$4:$D$269)) *
  (('Regional allocations LIVE'!$R$4:$R$269="") + ('Regional allocations LIVE'!$R$4:$R$269&gt;=AZ$4)) *
  'Regional allocations LIVE'!$T$4:$T$269)</f>
        <v>0</v>
      </c>
      <c r="AZ61" s="249" cm="1">
        <f t="array" ref="AZ61">SUMPRODUCT(
  ('Regional allocations LIVE'!$H$4:$H$269=$O61) *
  ('Regional allocations LIVE'!$D$4:$D$269&lt;BA$4) *
  (ISNUMBER('Regional allocations LIVE'!$D$4:$D$269)) *
  (('Regional allocations LIVE'!$R$4:$R$269="") + ('Regional allocations LIVE'!$R$4:$R$269&gt;=BA$4)) *
  'Regional allocations LIVE'!$T$4:$T$269)</f>
        <v>0</v>
      </c>
      <c r="BA61" s="249" cm="1">
        <f t="array" ref="BA61">SUMPRODUCT(
  ('Regional allocations LIVE'!$H$4:$H$269=$O61) *
  ('Regional allocations LIVE'!$D$4:$D$269&lt;BB$4) *
  (ISNUMBER('Regional allocations LIVE'!$D$4:$D$269)) *
  (('Regional allocations LIVE'!$R$4:$R$269="") + ('Regional allocations LIVE'!$R$4:$R$269&gt;=BB$4)) *
  'Regional allocations LIVE'!$T$4:$T$269)</f>
        <v>0</v>
      </c>
      <c r="BB61" s="249" cm="1">
        <f t="array" ref="BB61">SUMPRODUCT(
  ('Regional allocations LIVE'!$H$4:$H$269=$O61) *
  ('Regional allocations LIVE'!$D$4:$D$269&lt;BC$4) *
  (ISNUMBER('Regional allocations LIVE'!$D$4:$D$269)) *
  (('Regional allocations LIVE'!$R$4:$R$269="") + ('Regional allocations LIVE'!$R$4:$R$269&gt;=BC$4)) *
  'Regional allocations LIVE'!$T$4:$T$269)</f>
        <v>0</v>
      </c>
      <c r="BC61" s="249" cm="1">
        <f t="array" ref="BC61">SUMPRODUCT(
  ('Regional allocations LIVE'!$H$4:$H$269=$O61) *
  ('Regional allocations LIVE'!$D$4:$D$269&lt;BD$4) *
  (ISNUMBER('Regional allocations LIVE'!$D$4:$D$269)) *
  (('Regional allocations LIVE'!$R$4:$R$269="") + ('Regional allocations LIVE'!$R$4:$R$269&gt;=BD$4)) *
  'Regional allocations LIVE'!$T$4:$T$269)</f>
        <v>0</v>
      </c>
      <c r="BD61" s="249" cm="1">
        <f t="array" ref="BD61">SUMPRODUCT(
  ('Regional allocations LIVE'!$H$4:$H$269=$O61) *
  ('Regional allocations LIVE'!$D$4:$D$269&lt;BE$4) *
  (ISNUMBER('Regional allocations LIVE'!$D$4:$D$269)) *
  (('Regional allocations LIVE'!$R$4:$R$269="") + ('Regional allocations LIVE'!$R$4:$R$269&gt;=BE$4)) *
  'Regional allocations LIVE'!$T$4:$T$269)</f>
        <v>0</v>
      </c>
    </row>
    <row r="62" spans="2:59" ht="12.75" x14ac:dyDescent="0.2">
      <c r="B62"/>
      <c r="C62"/>
      <c r="D62"/>
      <c r="Q62" s="118" t="s">
        <v>108</v>
      </c>
      <c r="R62" s="242">
        <f>SUM(R52:R61)</f>
        <v>0</v>
      </c>
      <c r="S62" s="242">
        <f>SUM(S52:S61)</f>
        <v>0</v>
      </c>
      <c r="T62" s="243">
        <f>SUM(T52:T58)</f>
        <v>0</v>
      </c>
      <c r="U62" s="243">
        <f>SUM(U52:U59)</f>
        <v>0</v>
      </c>
      <c r="V62" s="243">
        <f>SUM(V52:V58)</f>
        <v>0</v>
      </c>
      <c r="W62" s="243">
        <f>SUM(W52:W58)</f>
        <v>0</v>
      </c>
      <c r="X62" s="242">
        <f>SUM(X52:X61)</f>
        <v>0</v>
      </c>
      <c r="Y62" s="243">
        <f>SUM(Y52:Y58)</f>
        <v>0</v>
      </c>
      <c r="Z62" s="243">
        <f>SUM(Z52:Z58)</f>
        <v>0</v>
      </c>
      <c r="AA62" s="243">
        <f>SUM(AA52:AA58)</f>
        <v>0</v>
      </c>
      <c r="AB62" s="243">
        <f>SUM(AB52:AB58)</f>
        <v>0</v>
      </c>
      <c r="AC62" s="243">
        <f>SUM(AC52:AC58)</f>
        <v>0</v>
      </c>
      <c r="AD62" s="242">
        <f>SUM(AD52:AD61)</f>
        <v>0</v>
      </c>
      <c r="AE62" s="242">
        <f>SUM(AE52:AE61)</f>
        <v>0</v>
      </c>
      <c r="AF62" s="242">
        <f>SUM(AF52:AF61)</f>
        <v>0</v>
      </c>
      <c r="AG62" s="251">
        <f>SUM(AG52:AG59)</f>
        <v>156.30000000000001</v>
      </c>
      <c r="AH62" s="242">
        <f t="shared" ref="AH62:BD62" si="18">SUM(AH52:AH61)</f>
        <v>170.8</v>
      </c>
      <c r="AI62" s="242">
        <f t="shared" si="18"/>
        <v>171.8</v>
      </c>
      <c r="AJ62" s="242">
        <f t="shared" si="18"/>
        <v>178.8</v>
      </c>
      <c r="AK62" s="242">
        <f t="shared" si="18"/>
        <v>179.8</v>
      </c>
      <c r="AL62" s="242">
        <f t="shared" si="18"/>
        <v>179.8</v>
      </c>
      <c r="AM62" s="242">
        <f t="shared" si="18"/>
        <v>179.8</v>
      </c>
      <c r="AN62" s="242">
        <f t="shared" si="18"/>
        <v>179.8</v>
      </c>
      <c r="AO62" s="242">
        <f t="shared" si="18"/>
        <v>179.8</v>
      </c>
      <c r="AP62" s="242">
        <f t="shared" si="18"/>
        <v>179.8</v>
      </c>
      <c r="AQ62" s="242">
        <f t="shared" si="18"/>
        <v>179.8</v>
      </c>
      <c r="AR62" s="242">
        <f t="shared" si="18"/>
        <v>179.8</v>
      </c>
      <c r="AS62" s="242">
        <f t="shared" si="18"/>
        <v>179.8</v>
      </c>
      <c r="AT62" s="242">
        <f t="shared" si="18"/>
        <v>179.8</v>
      </c>
      <c r="AU62" s="242">
        <f t="shared" si="18"/>
        <v>179.8</v>
      </c>
      <c r="AV62" s="242">
        <f t="shared" si="18"/>
        <v>179.8</v>
      </c>
      <c r="AW62" s="242">
        <f t="shared" si="18"/>
        <v>179.8</v>
      </c>
      <c r="AX62" s="242">
        <f t="shared" si="18"/>
        <v>179.8</v>
      </c>
      <c r="AY62" s="242">
        <f t="shared" si="18"/>
        <v>179.8</v>
      </c>
      <c r="AZ62" s="242">
        <f t="shared" si="18"/>
        <v>179.8</v>
      </c>
      <c r="BA62" s="242">
        <f t="shared" si="18"/>
        <v>179.8</v>
      </c>
      <c r="BB62" s="242">
        <f t="shared" si="18"/>
        <v>179.8</v>
      </c>
      <c r="BC62" s="242">
        <f t="shared" si="18"/>
        <v>179.8</v>
      </c>
      <c r="BD62" s="242">
        <f t="shared" si="18"/>
        <v>179.8</v>
      </c>
    </row>
    <row r="64" spans="2:59" ht="12.75" x14ac:dyDescent="0.2">
      <c r="B64" s="159" t="s">
        <v>57</v>
      </c>
      <c r="C64">
        <v>7</v>
      </c>
      <c r="D64"/>
      <c r="E64">
        <v>34</v>
      </c>
      <c r="F64"/>
      <c r="G64">
        <v>4</v>
      </c>
      <c r="H64">
        <v>45</v>
      </c>
      <c r="Q64" s="248" t="s">
        <v>47</v>
      </c>
      <c r="R64" s="111" t="s">
        <v>94</v>
      </c>
    </row>
    <row r="65" spans="2:59" ht="12.75" x14ac:dyDescent="0.2">
      <c r="B65" s="159" t="s">
        <v>56</v>
      </c>
      <c r="C65"/>
      <c r="D65"/>
      <c r="E65">
        <v>15</v>
      </c>
      <c r="F65"/>
      <c r="G65"/>
      <c r="H65">
        <v>15</v>
      </c>
      <c r="Q65" s="119" t="s">
        <v>4</v>
      </c>
      <c r="R65" s="184" t="s">
        <v>96</v>
      </c>
      <c r="S65" s="208" t="s">
        <v>5</v>
      </c>
      <c r="T65" s="208" t="s">
        <v>6</v>
      </c>
      <c r="U65" s="208" t="s">
        <v>7</v>
      </c>
      <c r="V65" s="208" t="s">
        <v>8</v>
      </c>
      <c r="W65" s="208" t="s">
        <v>9</v>
      </c>
      <c r="X65" s="208" t="s">
        <v>10</v>
      </c>
      <c r="Y65" s="208" t="s">
        <v>11</v>
      </c>
      <c r="Z65" s="208" t="s">
        <v>12</v>
      </c>
      <c r="AA65" s="208" t="s">
        <v>13</v>
      </c>
      <c r="AB65" s="208" t="s">
        <v>14</v>
      </c>
      <c r="AC65" s="208" t="s">
        <v>15</v>
      </c>
      <c r="AD65" s="209" t="s">
        <v>16</v>
      </c>
      <c r="AE65" s="228" t="s">
        <v>17</v>
      </c>
      <c r="AF65" s="238" t="s">
        <v>18</v>
      </c>
      <c r="AG65" s="237" t="s">
        <v>19</v>
      </c>
      <c r="AH65" s="164" t="s">
        <v>20</v>
      </c>
      <c r="AI65" s="164" t="s">
        <v>21</v>
      </c>
      <c r="AJ65" s="164" t="s">
        <v>22</v>
      </c>
      <c r="AK65" s="164" t="s">
        <v>23</v>
      </c>
      <c r="AL65" s="164" t="s">
        <v>24</v>
      </c>
      <c r="AM65" s="164" t="s">
        <v>25</v>
      </c>
      <c r="AN65" s="164" t="s">
        <v>26</v>
      </c>
      <c r="AO65" s="164" t="s">
        <v>27</v>
      </c>
      <c r="AP65" s="164" t="s">
        <v>28</v>
      </c>
      <c r="AQ65" s="164" t="s">
        <v>29</v>
      </c>
      <c r="AR65" s="164" t="s">
        <v>30</v>
      </c>
      <c r="AS65" s="164" t="s">
        <v>31</v>
      </c>
      <c r="AT65" s="164" t="s">
        <v>32</v>
      </c>
      <c r="AU65" s="164" t="s">
        <v>33</v>
      </c>
      <c r="AV65" s="164" t="s">
        <v>34</v>
      </c>
      <c r="AW65" s="164" t="s">
        <v>35</v>
      </c>
      <c r="AX65" s="164" t="s">
        <v>36</v>
      </c>
      <c r="AY65" s="164" t="s">
        <v>37</v>
      </c>
      <c r="AZ65" s="164" t="s">
        <v>38</v>
      </c>
      <c r="BA65" s="164" t="s">
        <v>39</v>
      </c>
      <c r="BB65" s="164" t="s">
        <v>40</v>
      </c>
      <c r="BC65" s="164" t="s">
        <v>41</v>
      </c>
      <c r="BD65" s="164" t="s">
        <v>42</v>
      </c>
      <c r="BE65" s="118" t="s">
        <v>43</v>
      </c>
      <c r="BF65" s="118" t="s">
        <v>44</v>
      </c>
      <c r="BG65" s="118" t="s">
        <v>45</v>
      </c>
    </row>
    <row r="66" spans="2:59" ht="12.75" x14ac:dyDescent="0.2">
      <c r="B66" s="159" t="s">
        <v>55</v>
      </c>
      <c r="C66"/>
      <c r="D66"/>
      <c r="E66">
        <v>2</v>
      </c>
      <c r="F66"/>
      <c r="G66"/>
      <c r="H66">
        <v>2</v>
      </c>
      <c r="Q66" s="152" t="s">
        <v>46</v>
      </c>
      <c r="R66" s="155"/>
      <c r="S66" s="155"/>
      <c r="T66" s="155"/>
      <c r="U66" s="155"/>
      <c r="V66" s="155"/>
      <c r="W66" s="171"/>
      <c r="X66" s="182"/>
      <c r="Y66" s="182"/>
      <c r="Z66" s="182"/>
      <c r="AA66" s="182"/>
      <c r="AB66" s="182"/>
      <c r="AC66" s="182"/>
      <c r="AD66" s="182"/>
      <c r="AE66" s="182"/>
      <c r="AF66" s="182"/>
      <c r="AG66" s="182" cm="1">
        <f t="array" ref="AG66">SUMPRODUCT(
  ('Regional allocations LIVE'!$H$2:$H$1047 = $O52) *
  (ISBLANK('Regional allocations LIVE'!$R$2:$R$1047) + ('Regional allocations LIVE'!$R$2:$R$1047 &gt;= AH$4)) *
  (ISNUMBER('Regional allocations LIVE'!$D$2:$D$1047)) *
  ('Regional allocations LIVE'!$D$2:$D$1047 &lt;= AH$4)
)</f>
        <v>28</v>
      </c>
      <c r="AH66" s="182" cm="1">
        <f t="array" ref="AH66">SUMPRODUCT(
  ('Regional allocations LIVE'!$H$2:$H$1047 = $O52) *
  (ISBLANK('Regional allocations LIVE'!$R$2:$R$1047) + ('Regional allocations LIVE'!$R$2:$R$1047 &gt;= AI$4)) *
  (ISNUMBER('Regional allocations LIVE'!$D$2:$D$1047)) *
  ('Regional allocations LIVE'!$D$2:$D$1047 &lt;= AI$4)
)</f>
        <v>29</v>
      </c>
      <c r="AI66" s="182" cm="1">
        <f t="array" ref="AI66">SUMPRODUCT(
  ('Regional allocations LIVE'!$H$2:$H$1047 = $O52) *
  (ISBLANK('Regional allocations LIVE'!$R$2:$R$1047) + ('Regional allocations LIVE'!$R$2:$R$1047 &gt;= AJ$4)) *
  (ISNUMBER('Regional allocations LIVE'!$D$2:$D$1047)) *
  ('Regional allocations LIVE'!$D$2:$D$1047 &lt;= AJ$4)
)</f>
        <v>34</v>
      </c>
      <c r="AJ66" s="182" cm="1">
        <f t="array" ref="AJ66">SUMPRODUCT(
  ('Regional allocations LIVE'!$H$2:$H$1047 = $O52) *
  (ISBLANK('Regional allocations LIVE'!$R$2:$R$1047) + ('Regional allocations LIVE'!$R$2:$R$1047 &gt;= AK$4)) *
  (ISNUMBER('Regional allocations LIVE'!$D$2:$D$1047)) *
  ('Regional allocations LIVE'!$D$2:$D$1047 &lt;= AK$4)
)</f>
        <v>36</v>
      </c>
      <c r="AK66" s="182" cm="1">
        <f t="array" ref="AK66">SUMPRODUCT(
  ('Regional allocations LIVE'!$H$2:$H$1047 = $O52) *
  (ISBLANK('Regional allocations LIVE'!$R$2:$R$1047) + ('Regional allocations LIVE'!$R$2:$R$1047 &gt;= AL$4)) *
  (ISNUMBER('Regional allocations LIVE'!$D$2:$D$1047)) *
  ('Regional allocations LIVE'!$D$2:$D$1047 &lt;= AL$4)
)</f>
        <v>36</v>
      </c>
      <c r="AL66" s="182" cm="1">
        <f t="array" ref="AL66">SUMPRODUCT(
  ('Regional allocations LIVE'!$H$2:$H$1047 = $O52) *
  (ISBLANK('Regional allocations LIVE'!$R$2:$R$1047) + ('Regional allocations LIVE'!$R$2:$R$1047 &gt;= AM$4)) *
  (ISNUMBER('Regional allocations LIVE'!$D$2:$D$1047)) *
  ('Regional allocations LIVE'!$D$2:$D$1047 &lt;= AM$4)
)</f>
        <v>36</v>
      </c>
      <c r="AM66" s="182" cm="1">
        <f t="array" ref="AM66">SUMPRODUCT(
  ('Regional allocations LIVE'!$H$2:$H$1047 = $O52) *
  (ISBLANK('Regional allocations LIVE'!$R$2:$R$1047) + ('Regional allocations LIVE'!$R$2:$R$1047 &gt;= AN$4)) *
  (ISNUMBER('Regional allocations LIVE'!$D$2:$D$1047)) *
  ('Regional allocations LIVE'!$D$2:$D$1047 &lt;= AN$4)
)</f>
        <v>36</v>
      </c>
      <c r="AN66" s="182" cm="1">
        <f t="array" ref="AN66">SUMPRODUCT(
  ('Regional allocations LIVE'!$H$2:$H$1047 = $O52) *
  (ISBLANK('Regional allocations LIVE'!$R$2:$R$1047) + ('Regional allocations LIVE'!$R$2:$R$1047 &gt;= AO$4)) *
  (ISNUMBER('Regional allocations LIVE'!$D$2:$D$1047)) *
  ('Regional allocations LIVE'!$D$2:$D$1047 &lt;= AO$4)
)</f>
        <v>36</v>
      </c>
      <c r="AO66" s="182" cm="1">
        <f t="array" ref="AO66">SUMPRODUCT(
  ('Regional allocations LIVE'!$H$2:$H$1047 = $O52) *
  (ISBLANK('Regional allocations LIVE'!$R$2:$R$1047) + ('Regional allocations LIVE'!$R$2:$R$1047 &gt;= AP$4)) *
  (ISNUMBER('Regional allocations LIVE'!$D$2:$D$1047)) *
  ('Regional allocations LIVE'!$D$2:$D$1047 &lt;= AP$4)
)</f>
        <v>36</v>
      </c>
      <c r="AP66" s="182" cm="1">
        <f t="array" ref="AP66">SUMPRODUCT(
  ('Regional allocations LIVE'!$H$2:$H$1047 = $O52) *
  (ISBLANK('Regional allocations LIVE'!$R$2:$R$1047) + ('Regional allocations LIVE'!$R$2:$R$1047 &gt;= AQ$4)) *
  (ISNUMBER('Regional allocations LIVE'!$D$2:$D$1047)) *
  ('Regional allocations LIVE'!$D$2:$D$1047 &lt;= AQ$4)
)</f>
        <v>36</v>
      </c>
      <c r="AQ66" s="182" cm="1">
        <f t="array" ref="AQ66">SUMPRODUCT(
  ('Regional allocations LIVE'!$H$2:$H$1047 = $O52) *
  (ISBLANK('Regional allocations LIVE'!$R$2:$R$1047) + ('Regional allocations LIVE'!$R$2:$R$1047 &gt;= AR$4)) *
  (ISNUMBER('Regional allocations LIVE'!$D$2:$D$1047)) *
  ('Regional allocations LIVE'!$D$2:$D$1047 &lt;= AR$4)
)</f>
        <v>36</v>
      </c>
      <c r="AR66" s="182" cm="1">
        <f t="array" ref="AR66">SUMPRODUCT(
  ('Regional allocations LIVE'!$H$2:$H$1047 = $O52) *
  (ISBLANK('Regional allocations LIVE'!$R$2:$R$1047) + ('Regional allocations LIVE'!$R$2:$R$1047 &gt;= AS$4)) *
  (ISNUMBER('Regional allocations LIVE'!$D$2:$D$1047)) *
  ('Regional allocations LIVE'!$D$2:$D$1047 &lt;= AS$4)
)</f>
        <v>36</v>
      </c>
      <c r="AS66" s="182" cm="1">
        <f t="array" ref="AS66">SUMPRODUCT(
  ('Regional allocations LIVE'!$H$2:$H$1047 = $O52) *
  (ISBLANK('Regional allocations LIVE'!$R$2:$R$1047) + ('Regional allocations LIVE'!$R$2:$R$1047 &gt;= AT$4)) *
  (ISNUMBER('Regional allocations LIVE'!$D$2:$D$1047)) *
  ('Regional allocations LIVE'!$D$2:$D$1047 &lt;= AT$4)
)</f>
        <v>36</v>
      </c>
      <c r="AT66" s="182" cm="1">
        <f t="array" ref="AT66">SUMPRODUCT(
  ('Regional allocations LIVE'!$H$2:$H$1047 = $O52) *
  (ISBLANK('Regional allocations LIVE'!$R$2:$R$1047) + ('Regional allocations LIVE'!$R$2:$R$1047 &gt;= AU$4)) *
  (ISNUMBER('Regional allocations LIVE'!$D$2:$D$1047)) *
  ('Regional allocations LIVE'!$D$2:$D$1047 &lt;= AU$4)
)</f>
        <v>36</v>
      </c>
      <c r="AU66" s="182" cm="1">
        <f t="array" ref="AU66">SUMPRODUCT(
  ('Regional allocations LIVE'!$H$2:$H$1047 = $O52) *
  (ISBLANK('Regional allocations LIVE'!$R$2:$R$1047) + ('Regional allocations LIVE'!$R$2:$R$1047 &gt;= AV$4)) *
  (ISNUMBER('Regional allocations LIVE'!$D$2:$D$1047)) *
  ('Regional allocations LIVE'!$D$2:$D$1047 &lt;= AV$4)
)</f>
        <v>36</v>
      </c>
      <c r="AV66" s="182" cm="1">
        <f t="array" ref="AV66">SUMPRODUCT(
  ('Regional allocations LIVE'!$H$2:$H$1047 = $O52) *
  (ISBLANK('Regional allocations LIVE'!$R$2:$R$1047) + ('Regional allocations LIVE'!$R$2:$R$1047 &gt;= AW$4)) *
  (ISNUMBER('Regional allocations LIVE'!$D$2:$D$1047)) *
  ('Regional allocations LIVE'!$D$2:$D$1047 &lt;= AW$4)
)</f>
        <v>36</v>
      </c>
      <c r="AW66" s="182" cm="1">
        <f t="array" ref="AW66">SUMPRODUCT(
  ('Regional allocations LIVE'!$H$2:$H$1047 = $O52) *
  (ISBLANK('Regional allocations LIVE'!$R$2:$R$1047) + ('Regional allocations LIVE'!$R$2:$R$1047 &gt;= AX$4)) *
  (ISNUMBER('Regional allocations LIVE'!$D$2:$D$1047)) *
  ('Regional allocations LIVE'!$D$2:$D$1047 &lt;= AX$4)
)</f>
        <v>36</v>
      </c>
      <c r="AX66" s="182" cm="1">
        <f t="array" ref="AX66">SUMPRODUCT(
  ('Regional allocations LIVE'!$H$2:$H$1047 = $O52) *
  (ISBLANK('Regional allocations LIVE'!$R$2:$R$1047) + ('Regional allocations LIVE'!$R$2:$R$1047 &gt;= AY$4)) *
  (ISNUMBER('Regional allocations LIVE'!$D$2:$D$1047)) *
  ('Regional allocations LIVE'!$D$2:$D$1047 &lt;= AY$4)
)</f>
        <v>36</v>
      </c>
      <c r="AY66" s="182" cm="1">
        <f t="array" ref="AY66">SUMPRODUCT(
  ('Regional allocations LIVE'!$H$2:$H$1047 = $O52) *
  (ISBLANK('Regional allocations LIVE'!$R$2:$R$1047) + ('Regional allocations LIVE'!$R$2:$R$1047 &gt;= AZ$4)) *
  (ISNUMBER('Regional allocations LIVE'!$D$2:$D$1047)) *
  ('Regional allocations LIVE'!$D$2:$D$1047 &lt;= AZ$4)
)</f>
        <v>36</v>
      </c>
      <c r="AZ66" s="182" cm="1">
        <f t="array" ref="AZ66">SUMPRODUCT(
  ('Regional allocations LIVE'!$H$2:$H$1047 = $O52) *
  (ISBLANK('Regional allocations LIVE'!$R$2:$R$1047) + ('Regional allocations LIVE'!$R$2:$R$1047 &gt;= BA$4)) *
  (ISNUMBER('Regional allocations LIVE'!$D$2:$D$1047)) *
  ('Regional allocations LIVE'!$D$2:$D$1047 &lt;= BA$4)
)</f>
        <v>36</v>
      </c>
      <c r="BA66" s="182" cm="1">
        <f t="array" ref="BA66">SUMPRODUCT(
  ('Regional allocations LIVE'!$H$2:$H$1047 = $O52) *
  (ISBLANK('Regional allocations LIVE'!$R$2:$R$1047) + ('Regional allocations LIVE'!$R$2:$R$1047 &gt;= BB$4)) *
  (ISNUMBER('Regional allocations LIVE'!$D$2:$D$1047)) *
  ('Regional allocations LIVE'!$D$2:$D$1047 &lt;= BB$4)
)</f>
        <v>36</v>
      </c>
      <c r="BB66" s="182" cm="1">
        <f t="array" ref="BB66">SUMPRODUCT(
  ('Regional allocations LIVE'!$H$2:$H$1047 = $O52) *
  (ISBLANK('Regional allocations LIVE'!$R$2:$R$1047) + ('Regional allocations LIVE'!$R$2:$R$1047 &gt;= BC$4)) *
  (ISNUMBER('Regional allocations LIVE'!$D$2:$D$1047)) *
  ('Regional allocations LIVE'!$D$2:$D$1047 &lt;= BC$4)
)</f>
        <v>36</v>
      </c>
      <c r="BC66" s="182" cm="1">
        <f t="array" ref="BC66">SUMPRODUCT(
  ('Regional allocations LIVE'!$H$2:$H$1047 = $O52) *
  (ISBLANK('Regional allocations LIVE'!$R$2:$R$1047) + ('Regional allocations LIVE'!$R$2:$R$1047 &gt;= BD$4)) *
  (ISNUMBER('Regional allocations LIVE'!$D$2:$D$1047)) *
  ('Regional allocations LIVE'!$D$2:$D$1047 &lt;= BD$4)
)</f>
        <v>36</v>
      </c>
      <c r="BD66" s="182" cm="1">
        <f t="array" ref="BD66">SUMPRODUCT(
  ('Regional allocations LIVE'!$H$2:$H$1047 = $O52) *
  (ISBLANK('Regional allocations LIVE'!$R$2:$R$1047) + ('Regional allocations LIVE'!$R$2:$R$1047 &gt;= BE$4)) *
  (ISNUMBER('Regional allocations LIVE'!$D$2:$D$1047)) *
  ('Regional allocations LIVE'!$D$2:$D$1047 &lt;= BE$4)
)</f>
        <v>36</v>
      </c>
    </row>
    <row r="67" spans="2:59" ht="12.75" x14ac:dyDescent="0.2">
      <c r="B67" s="159" t="s">
        <v>105</v>
      </c>
      <c r="C67">
        <v>7</v>
      </c>
      <c r="D67">
        <v>9</v>
      </c>
      <c r="E67">
        <v>140</v>
      </c>
      <c r="F67">
        <v>10</v>
      </c>
      <c r="G67">
        <v>8</v>
      </c>
      <c r="H67">
        <v>174</v>
      </c>
      <c r="Q67" s="152" t="s">
        <v>55</v>
      </c>
      <c r="R67" s="155"/>
      <c r="S67" s="155"/>
      <c r="T67" s="155"/>
      <c r="U67" s="155"/>
      <c r="V67" s="155"/>
      <c r="W67" s="171"/>
      <c r="X67" s="155"/>
      <c r="Y67" s="155"/>
      <c r="Z67" s="155"/>
      <c r="AA67" s="155"/>
      <c r="AB67" s="155"/>
      <c r="AC67" s="155"/>
      <c r="AD67" s="155"/>
      <c r="AE67" s="182"/>
      <c r="AF67" s="182"/>
      <c r="AG67" s="182" cm="1">
        <f t="array" ref="AG67">SUMPRODUCT(
  ('Regional allocations LIVE'!$H$2:$H$1047 = $O53) *
  (ISBLANK('Regional allocations LIVE'!$R$2:$R$1047) + ('Regional allocations LIVE'!$R$2:$R$1047 &gt;= AH$4)) *
  (ISNUMBER('Regional allocations LIVE'!$D$2:$D$1047)) *
  ('Regional allocations LIVE'!$D$2:$D$1047 &lt;= AH$4)
)</f>
        <v>5</v>
      </c>
      <c r="AH67" s="182" cm="1">
        <f t="array" ref="AH67">SUMPRODUCT(
  ('Regional allocations LIVE'!$H$2:$H$1047 = $O53) *
  (ISBLANK('Regional allocations LIVE'!$R$2:$R$1047) + ('Regional allocations LIVE'!$R$2:$R$1047 &gt;= AI$4)) *
  (ISNUMBER('Regional allocations LIVE'!$D$2:$D$1047)) *
  ('Regional allocations LIVE'!$D$2:$D$1047 &lt;= AI$4)
)</f>
        <v>5</v>
      </c>
      <c r="AI67" s="182" cm="1">
        <f t="array" ref="AI67">SUMPRODUCT(
  ('Regional allocations LIVE'!$H$2:$H$1047 = $O53) *
  (ISBLANK('Regional allocations LIVE'!$R$2:$R$1047) + ('Regional allocations LIVE'!$R$2:$R$1047 &gt;= AJ$4)) *
  (ISNUMBER('Regional allocations LIVE'!$D$2:$D$1047)) *
  ('Regional allocations LIVE'!$D$2:$D$1047 &lt;= AJ$4)
)</f>
        <v>5</v>
      </c>
      <c r="AJ67" s="182" cm="1">
        <f t="array" ref="AJ67">SUMPRODUCT(
  ('Regional allocations LIVE'!$H$2:$H$1047 = $O53) *
  (ISBLANK('Regional allocations LIVE'!$R$2:$R$1047) + ('Regional allocations LIVE'!$R$2:$R$1047 &gt;= AK$4)) *
  (ISNUMBER('Regional allocations LIVE'!$D$2:$D$1047)) *
  ('Regional allocations LIVE'!$D$2:$D$1047 &lt;= AK$4)
)</f>
        <v>5</v>
      </c>
      <c r="AK67" s="182" cm="1">
        <f t="array" ref="AK67">SUMPRODUCT(
  ('Regional allocations LIVE'!$H$2:$H$1047 = $O53) *
  (ISBLANK('Regional allocations LIVE'!$R$2:$R$1047) + ('Regional allocations LIVE'!$R$2:$R$1047 &gt;= AL$4)) *
  (ISNUMBER('Regional allocations LIVE'!$D$2:$D$1047)) *
  ('Regional allocations LIVE'!$D$2:$D$1047 &lt;= AL$4)
)</f>
        <v>5</v>
      </c>
      <c r="AL67" s="182" cm="1">
        <f t="array" ref="AL67">SUMPRODUCT(
  ('Regional allocations LIVE'!$H$2:$H$1047 = $O53) *
  (ISBLANK('Regional allocations LIVE'!$R$2:$R$1047) + ('Regional allocations LIVE'!$R$2:$R$1047 &gt;= AM$4)) *
  (ISNUMBER('Regional allocations LIVE'!$D$2:$D$1047)) *
  ('Regional allocations LIVE'!$D$2:$D$1047 &lt;= AM$4)
)</f>
        <v>5</v>
      </c>
      <c r="AM67" s="182" cm="1">
        <f t="array" ref="AM67">SUMPRODUCT(
  ('Regional allocations LIVE'!$H$2:$H$1047 = $O53) *
  (ISBLANK('Regional allocations LIVE'!$R$2:$R$1047) + ('Regional allocations LIVE'!$R$2:$R$1047 &gt;= AN$4)) *
  (ISNUMBER('Regional allocations LIVE'!$D$2:$D$1047)) *
  ('Regional allocations LIVE'!$D$2:$D$1047 &lt;= AN$4)
)</f>
        <v>5</v>
      </c>
      <c r="AN67" s="182" cm="1">
        <f t="array" ref="AN67">SUMPRODUCT(
  ('Regional allocations LIVE'!$H$2:$H$1047 = $O53) *
  (ISBLANK('Regional allocations LIVE'!$R$2:$R$1047) + ('Regional allocations LIVE'!$R$2:$R$1047 &gt;= AO$4)) *
  (ISNUMBER('Regional allocations LIVE'!$D$2:$D$1047)) *
  ('Regional allocations LIVE'!$D$2:$D$1047 &lt;= AO$4)
)</f>
        <v>5</v>
      </c>
      <c r="AO67" s="182" cm="1">
        <f t="array" ref="AO67">SUMPRODUCT(
  ('Regional allocations LIVE'!$H$2:$H$1047 = $O53) *
  (ISBLANK('Regional allocations LIVE'!$R$2:$R$1047) + ('Regional allocations LIVE'!$R$2:$R$1047 &gt;= AP$4)) *
  (ISNUMBER('Regional allocations LIVE'!$D$2:$D$1047)) *
  ('Regional allocations LIVE'!$D$2:$D$1047 &lt;= AP$4)
)</f>
        <v>5</v>
      </c>
      <c r="AP67" s="182" cm="1">
        <f t="array" ref="AP67">SUMPRODUCT(
  ('Regional allocations LIVE'!$H$2:$H$1047 = $O53) *
  (ISBLANK('Regional allocations LIVE'!$R$2:$R$1047) + ('Regional allocations LIVE'!$R$2:$R$1047 &gt;= AQ$4)) *
  (ISNUMBER('Regional allocations LIVE'!$D$2:$D$1047)) *
  ('Regional allocations LIVE'!$D$2:$D$1047 &lt;= AQ$4)
)</f>
        <v>5</v>
      </c>
      <c r="AQ67" s="182" cm="1">
        <f t="array" ref="AQ67">SUMPRODUCT(
  ('Regional allocations LIVE'!$H$2:$H$1047 = $O53) *
  (ISBLANK('Regional allocations LIVE'!$R$2:$R$1047) + ('Regional allocations LIVE'!$R$2:$R$1047 &gt;= AR$4)) *
  (ISNUMBER('Regional allocations LIVE'!$D$2:$D$1047)) *
  ('Regional allocations LIVE'!$D$2:$D$1047 &lt;= AR$4)
)</f>
        <v>5</v>
      </c>
      <c r="AR67" s="182" cm="1">
        <f t="array" ref="AR67">SUMPRODUCT(
  ('Regional allocations LIVE'!$H$2:$H$1047 = $O53) *
  (ISBLANK('Regional allocations LIVE'!$R$2:$R$1047) + ('Regional allocations LIVE'!$R$2:$R$1047 &gt;= AS$4)) *
  (ISNUMBER('Regional allocations LIVE'!$D$2:$D$1047)) *
  ('Regional allocations LIVE'!$D$2:$D$1047 &lt;= AS$4)
)</f>
        <v>5</v>
      </c>
      <c r="AS67" s="182" cm="1">
        <f t="array" ref="AS67">SUMPRODUCT(
  ('Regional allocations LIVE'!$H$2:$H$1047 = $O53) *
  (ISBLANK('Regional allocations LIVE'!$R$2:$R$1047) + ('Regional allocations LIVE'!$R$2:$R$1047 &gt;= AT$4)) *
  (ISNUMBER('Regional allocations LIVE'!$D$2:$D$1047)) *
  ('Regional allocations LIVE'!$D$2:$D$1047 &lt;= AT$4)
)</f>
        <v>5</v>
      </c>
      <c r="AT67" s="182" cm="1">
        <f t="array" ref="AT67">SUMPRODUCT(
  ('Regional allocations LIVE'!$H$2:$H$1047 = $O53) *
  (ISBLANK('Regional allocations LIVE'!$R$2:$R$1047) + ('Regional allocations LIVE'!$R$2:$R$1047 &gt;= AU$4)) *
  (ISNUMBER('Regional allocations LIVE'!$D$2:$D$1047)) *
  ('Regional allocations LIVE'!$D$2:$D$1047 &lt;= AU$4)
)</f>
        <v>5</v>
      </c>
      <c r="AU67" s="182" cm="1">
        <f t="array" ref="AU67">SUMPRODUCT(
  ('Regional allocations LIVE'!$H$2:$H$1047 = $O53) *
  (ISBLANK('Regional allocations LIVE'!$R$2:$R$1047) + ('Regional allocations LIVE'!$R$2:$R$1047 &gt;= AV$4)) *
  (ISNUMBER('Regional allocations LIVE'!$D$2:$D$1047)) *
  ('Regional allocations LIVE'!$D$2:$D$1047 &lt;= AV$4)
)</f>
        <v>5</v>
      </c>
      <c r="AV67" s="182" cm="1">
        <f t="array" ref="AV67">SUMPRODUCT(
  ('Regional allocations LIVE'!$H$2:$H$1047 = $O53) *
  (ISBLANK('Regional allocations LIVE'!$R$2:$R$1047) + ('Regional allocations LIVE'!$R$2:$R$1047 &gt;= AW$4)) *
  (ISNUMBER('Regional allocations LIVE'!$D$2:$D$1047)) *
  ('Regional allocations LIVE'!$D$2:$D$1047 &lt;= AW$4)
)</f>
        <v>5</v>
      </c>
      <c r="AW67" s="182" cm="1">
        <f t="array" ref="AW67">SUMPRODUCT(
  ('Regional allocations LIVE'!$H$2:$H$1047 = $O53) *
  (ISBLANK('Regional allocations LIVE'!$R$2:$R$1047) + ('Regional allocations LIVE'!$R$2:$R$1047 &gt;= AX$4)) *
  (ISNUMBER('Regional allocations LIVE'!$D$2:$D$1047)) *
  ('Regional allocations LIVE'!$D$2:$D$1047 &lt;= AX$4)
)</f>
        <v>5</v>
      </c>
      <c r="AX67" s="182" cm="1">
        <f t="array" ref="AX67">SUMPRODUCT(
  ('Regional allocations LIVE'!$H$2:$H$1047 = $O53) *
  (ISBLANK('Regional allocations LIVE'!$R$2:$R$1047) + ('Regional allocations LIVE'!$R$2:$R$1047 &gt;= AY$4)) *
  (ISNUMBER('Regional allocations LIVE'!$D$2:$D$1047)) *
  ('Regional allocations LIVE'!$D$2:$D$1047 &lt;= AY$4)
)</f>
        <v>5</v>
      </c>
      <c r="AY67" s="182" cm="1">
        <f t="array" ref="AY67">SUMPRODUCT(
  ('Regional allocations LIVE'!$H$2:$H$1047 = $O53) *
  (ISBLANK('Regional allocations LIVE'!$R$2:$R$1047) + ('Regional allocations LIVE'!$R$2:$R$1047 &gt;= AZ$4)) *
  (ISNUMBER('Regional allocations LIVE'!$D$2:$D$1047)) *
  ('Regional allocations LIVE'!$D$2:$D$1047 &lt;= AZ$4)
)</f>
        <v>5</v>
      </c>
      <c r="AZ67" s="182" cm="1">
        <f t="array" ref="AZ67">SUMPRODUCT(
  ('Regional allocations LIVE'!$H$2:$H$1047 = $O53) *
  (ISBLANK('Regional allocations LIVE'!$R$2:$R$1047) + ('Regional allocations LIVE'!$R$2:$R$1047 &gt;= BA$4)) *
  (ISNUMBER('Regional allocations LIVE'!$D$2:$D$1047)) *
  ('Regional allocations LIVE'!$D$2:$D$1047 &lt;= BA$4)
)</f>
        <v>5</v>
      </c>
      <c r="BA67" s="182" cm="1">
        <f t="array" ref="BA67">SUMPRODUCT(
  ('Regional allocations LIVE'!$H$2:$H$1047 = $O53) *
  (ISBLANK('Regional allocations LIVE'!$R$2:$R$1047) + ('Regional allocations LIVE'!$R$2:$R$1047 &gt;= BB$4)) *
  (ISNUMBER('Regional allocations LIVE'!$D$2:$D$1047)) *
  ('Regional allocations LIVE'!$D$2:$D$1047 &lt;= BB$4)
)</f>
        <v>5</v>
      </c>
      <c r="BB67" s="182" cm="1">
        <f t="array" ref="BB67">SUMPRODUCT(
  ('Regional allocations LIVE'!$H$2:$H$1047 = $O53) *
  (ISBLANK('Regional allocations LIVE'!$R$2:$R$1047) + ('Regional allocations LIVE'!$R$2:$R$1047 &gt;= BC$4)) *
  (ISNUMBER('Regional allocations LIVE'!$D$2:$D$1047)) *
  ('Regional allocations LIVE'!$D$2:$D$1047 &lt;= BC$4)
)</f>
        <v>5</v>
      </c>
      <c r="BC67" s="182" cm="1">
        <f t="array" ref="BC67">SUMPRODUCT(
  ('Regional allocations LIVE'!$H$2:$H$1047 = $O53) *
  (ISBLANK('Regional allocations LIVE'!$R$2:$R$1047) + ('Regional allocations LIVE'!$R$2:$R$1047 &gt;= BD$4)) *
  (ISNUMBER('Regional allocations LIVE'!$D$2:$D$1047)) *
  ('Regional allocations LIVE'!$D$2:$D$1047 &lt;= BD$4)
)</f>
        <v>5</v>
      </c>
      <c r="BD67" s="182" cm="1">
        <f t="array" ref="BD67">SUMPRODUCT(
  ('Regional allocations LIVE'!$H$2:$H$1047 = $O53) *
  (ISBLANK('Regional allocations LIVE'!$R$2:$R$1047) + ('Regional allocations LIVE'!$R$2:$R$1047 &gt;= BE$4)) *
  (ISNUMBER('Regional allocations LIVE'!$D$2:$D$1047)) *
  ('Regional allocations LIVE'!$D$2:$D$1047 &lt;= BE$4)
)</f>
        <v>5</v>
      </c>
    </row>
    <row r="68" spans="2:59" ht="12.75" x14ac:dyDescent="0.2">
      <c r="B68"/>
      <c r="C68"/>
      <c r="D68"/>
      <c r="Q68" s="152" t="s">
        <v>56</v>
      </c>
      <c r="R68" s="155"/>
      <c r="S68" s="155"/>
      <c r="T68" s="155"/>
      <c r="U68" s="155"/>
      <c r="V68" s="155"/>
      <c r="W68" s="171"/>
      <c r="X68" s="155"/>
      <c r="Y68" s="155"/>
      <c r="Z68" s="155"/>
      <c r="AA68" s="155"/>
      <c r="AB68" s="155"/>
      <c r="AC68" s="155"/>
      <c r="AD68" s="155"/>
      <c r="AE68" s="182"/>
      <c r="AF68" s="182"/>
      <c r="AG68" s="182" cm="1">
        <f t="array" ref="AG68">SUMPRODUCT(
  ('Regional allocations LIVE'!$H$2:$H$1047 = $O54) *
  (ISBLANK('Regional allocations LIVE'!$R$2:$R$1047) + ('Regional allocations LIVE'!$R$2:$R$1047 &gt;= AH$4)) *
  (ISNUMBER('Regional allocations LIVE'!$D$2:$D$1047)) *
  ('Regional allocations LIVE'!$D$2:$D$1047 &lt;= AH$4)
)</f>
        <v>15</v>
      </c>
      <c r="AH68" s="182" cm="1">
        <f t="array" ref="AH68">SUMPRODUCT(
  ('Regional allocations LIVE'!$H$2:$H$1047 = $O54) *
  (ISBLANK('Regional allocations LIVE'!$R$2:$R$1047) + ('Regional allocations LIVE'!$R$2:$R$1047 &gt;= AI$4)) *
  (ISNUMBER('Regional allocations LIVE'!$D$2:$D$1047)) *
  ('Regional allocations LIVE'!$D$2:$D$1047 &lt;= AI$4)
)</f>
        <v>15</v>
      </c>
      <c r="AI68" s="182" cm="1">
        <f t="array" ref="AI68">SUMPRODUCT(
  ('Regional allocations LIVE'!$H$2:$H$1047 = $O54) *
  (ISBLANK('Regional allocations LIVE'!$R$2:$R$1047) + ('Regional allocations LIVE'!$R$2:$R$1047 &gt;= AJ$4)) *
  (ISNUMBER('Regional allocations LIVE'!$D$2:$D$1047)) *
  ('Regional allocations LIVE'!$D$2:$D$1047 &lt;= AJ$4)
)</f>
        <v>16</v>
      </c>
      <c r="AJ68" s="182" cm="1">
        <f t="array" ref="AJ68">SUMPRODUCT(
  ('Regional allocations LIVE'!$H$2:$H$1047 = $O54) *
  (ISBLANK('Regional allocations LIVE'!$R$2:$R$1047) + ('Regional allocations LIVE'!$R$2:$R$1047 &gt;= AK$4)) *
  (ISNUMBER('Regional allocations LIVE'!$D$2:$D$1047)) *
  ('Regional allocations LIVE'!$D$2:$D$1047 &lt;= AK$4)
)</f>
        <v>16</v>
      </c>
      <c r="AK68" s="182" cm="1">
        <f t="array" ref="AK68">SUMPRODUCT(
  ('Regional allocations LIVE'!$H$2:$H$1047 = $O54) *
  (ISBLANK('Regional allocations LIVE'!$R$2:$R$1047) + ('Regional allocations LIVE'!$R$2:$R$1047 &gt;= AL$4)) *
  (ISNUMBER('Regional allocations LIVE'!$D$2:$D$1047)) *
  ('Regional allocations LIVE'!$D$2:$D$1047 &lt;= AL$4)
)</f>
        <v>16</v>
      </c>
      <c r="AL68" s="182" cm="1">
        <f t="array" ref="AL68">SUMPRODUCT(
  ('Regional allocations LIVE'!$H$2:$H$1047 = $O54) *
  (ISBLANK('Regional allocations LIVE'!$R$2:$R$1047) + ('Regional allocations LIVE'!$R$2:$R$1047 &gt;= AM$4)) *
  (ISNUMBER('Regional allocations LIVE'!$D$2:$D$1047)) *
  ('Regional allocations LIVE'!$D$2:$D$1047 &lt;= AM$4)
)</f>
        <v>16</v>
      </c>
      <c r="AM68" s="182" cm="1">
        <f t="array" ref="AM68">SUMPRODUCT(
  ('Regional allocations LIVE'!$H$2:$H$1047 = $O54) *
  (ISBLANK('Regional allocations LIVE'!$R$2:$R$1047) + ('Regional allocations LIVE'!$R$2:$R$1047 &gt;= AN$4)) *
  (ISNUMBER('Regional allocations LIVE'!$D$2:$D$1047)) *
  ('Regional allocations LIVE'!$D$2:$D$1047 &lt;= AN$4)
)</f>
        <v>16</v>
      </c>
      <c r="AN68" s="182" cm="1">
        <f t="array" ref="AN68">SUMPRODUCT(
  ('Regional allocations LIVE'!$H$2:$H$1047 = $O54) *
  (ISBLANK('Regional allocations LIVE'!$R$2:$R$1047) + ('Regional allocations LIVE'!$R$2:$R$1047 &gt;= AO$4)) *
  (ISNUMBER('Regional allocations LIVE'!$D$2:$D$1047)) *
  ('Regional allocations LIVE'!$D$2:$D$1047 &lt;= AO$4)
)</f>
        <v>16</v>
      </c>
      <c r="AO68" s="182" cm="1">
        <f t="array" ref="AO68">SUMPRODUCT(
  ('Regional allocations LIVE'!$H$2:$H$1047 = $O54) *
  (ISBLANK('Regional allocations LIVE'!$R$2:$R$1047) + ('Regional allocations LIVE'!$R$2:$R$1047 &gt;= AP$4)) *
  (ISNUMBER('Regional allocations LIVE'!$D$2:$D$1047)) *
  ('Regional allocations LIVE'!$D$2:$D$1047 &lt;= AP$4)
)</f>
        <v>16</v>
      </c>
      <c r="AP68" s="182" cm="1">
        <f t="array" ref="AP68">SUMPRODUCT(
  ('Regional allocations LIVE'!$H$2:$H$1047 = $O54) *
  (ISBLANK('Regional allocations LIVE'!$R$2:$R$1047) + ('Regional allocations LIVE'!$R$2:$R$1047 &gt;= AQ$4)) *
  (ISNUMBER('Regional allocations LIVE'!$D$2:$D$1047)) *
  ('Regional allocations LIVE'!$D$2:$D$1047 &lt;= AQ$4)
)</f>
        <v>16</v>
      </c>
      <c r="AQ68" s="182" cm="1">
        <f t="array" ref="AQ68">SUMPRODUCT(
  ('Regional allocations LIVE'!$H$2:$H$1047 = $O54) *
  (ISBLANK('Regional allocations LIVE'!$R$2:$R$1047) + ('Regional allocations LIVE'!$R$2:$R$1047 &gt;= AR$4)) *
  (ISNUMBER('Regional allocations LIVE'!$D$2:$D$1047)) *
  ('Regional allocations LIVE'!$D$2:$D$1047 &lt;= AR$4)
)</f>
        <v>16</v>
      </c>
      <c r="AR68" s="182" cm="1">
        <f t="array" ref="AR68">SUMPRODUCT(
  ('Regional allocations LIVE'!$H$2:$H$1047 = $O54) *
  (ISBLANK('Regional allocations LIVE'!$R$2:$R$1047) + ('Regional allocations LIVE'!$R$2:$R$1047 &gt;= AS$4)) *
  (ISNUMBER('Regional allocations LIVE'!$D$2:$D$1047)) *
  ('Regional allocations LIVE'!$D$2:$D$1047 &lt;= AS$4)
)</f>
        <v>16</v>
      </c>
      <c r="AS68" s="182" cm="1">
        <f t="array" ref="AS68">SUMPRODUCT(
  ('Regional allocations LIVE'!$H$2:$H$1047 = $O54) *
  (ISBLANK('Regional allocations LIVE'!$R$2:$R$1047) + ('Regional allocations LIVE'!$R$2:$R$1047 &gt;= AT$4)) *
  (ISNUMBER('Regional allocations LIVE'!$D$2:$D$1047)) *
  ('Regional allocations LIVE'!$D$2:$D$1047 &lt;= AT$4)
)</f>
        <v>16</v>
      </c>
      <c r="AT68" s="182" cm="1">
        <f t="array" ref="AT68">SUMPRODUCT(
  ('Regional allocations LIVE'!$H$2:$H$1047 = $O54) *
  (ISBLANK('Regional allocations LIVE'!$R$2:$R$1047) + ('Regional allocations LIVE'!$R$2:$R$1047 &gt;= AU$4)) *
  (ISNUMBER('Regional allocations LIVE'!$D$2:$D$1047)) *
  ('Regional allocations LIVE'!$D$2:$D$1047 &lt;= AU$4)
)</f>
        <v>16</v>
      </c>
      <c r="AU68" s="182" cm="1">
        <f t="array" ref="AU68">SUMPRODUCT(
  ('Regional allocations LIVE'!$H$2:$H$1047 = $O54) *
  (ISBLANK('Regional allocations LIVE'!$R$2:$R$1047) + ('Regional allocations LIVE'!$R$2:$R$1047 &gt;= AV$4)) *
  (ISNUMBER('Regional allocations LIVE'!$D$2:$D$1047)) *
  ('Regional allocations LIVE'!$D$2:$D$1047 &lt;= AV$4)
)</f>
        <v>16</v>
      </c>
      <c r="AV68" s="182" cm="1">
        <f t="array" ref="AV68">SUMPRODUCT(
  ('Regional allocations LIVE'!$H$2:$H$1047 = $O54) *
  (ISBLANK('Regional allocations LIVE'!$R$2:$R$1047) + ('Regional allocations LIVE'!$R$2:$R$1047 &gt;= AW$4)) *
  (ISNUMBER('Regional allocations LIVE'!$D$2:$D$1047)) *
  ('Regional allocations LIVE'!$D$2:$D$1047 &lt;= AW$4)
)</f>
        <v>16</v>
      </c>
      <c r="AW68" s="182" cm="1">
        <f t="array" ref="AW68">SUMPRODUCT(
  ('Regional allocations LIVE'!$H$2:$H$1047 = $O54) *
  (ISBLANK('Regional allocations LIVE'!$R$2:$R$1047) + ('Regional allocations LIVE'!$R$2:$R$1047 &gt;= AX$4)) *
  (ISNUMBER('Regional allocations LIVE'!$D$2:$D$1047)) *
  ('Regional allocations LIVE'!$D$2:$D$1047 &lt;= AX$4)
)</f>
        <v>16</v>
      </c>
      <c r="AX68" s="182" cm="1">
        <f t="array" ref="AX68">SUMPRODUCT(
  ('Regional allocations LIVE'!$H$2:$H$1047 = $O54) *
  (ISBLANK('Regional allocations LIVE'!$R$2:$R$1047) + ('Regional allocations LIVE'!$R$2:$R$1047 &gt;= AY$4)) *
  (ISNUMBER('Regional allocations LIVE'!$D$2:$D$1047)) *
  ('Regional allocations LIVE'!$D$2:$D$1047 &lt;= AY$4)
)</f>
        <v>16</v>
      </c>
      <c r="AY68" s="182" cm="1">
        <f t="array" ref="AY68">SUMPRODUCT(
  ('Regional allocations LIVE'!$H$2:$H$1047 = $O54) *
  (ISBLANK('Regional allocations LIVE'!$R$2:$R$1047) + ('Regional allocations LIVE'!$R$2:$R$1047 &gt;= AZ$4)) *
  (ISNUMBER('Regional allocations LIVE'!$D$2:$D$1047)) *
  ('Regional allocations LIVE'!$D$2:$D$1047 &lt;= AZ$4)
)</f>
        <v>16</v>
      </c>
      <c r="AZ68" s="182" cm="1">
        <f t="array" ref="AZ68">SUMPRODUCT(
  ('Regional allocations LIVE'!$H$2:$H$1047 = $O54) *
  (ISBLANK('Regional allocations LIVE'!$R$2:$R$1047) + ('Regional allocations LIVE'!$R$2:$R$1047 &gt;= BA$4)) *
  (ISNUMBER('Regional allocations LIVE'!$D$2:$D$1047)) *
  ('Regional allocations LIVE'!$D$2:$D$1047 &lt;= BA$4)
)</f>
        <v>16</v>
      </c>
      <c r="BA68" s="182" cm="1">
        <f t="array" ref="BA68">SUMPRODUCT(
  ('Regional allocations LIVE'!$H$2:$H$1047 = $O54) *
  (ISBLANK('Regional allocations LIVE'!$R$2:$R$1047) + ('Regional allocations LIVE'!$R$2:$R$1047 &gt;= BB$4)) *
  (ISNUMBER('Regional allocations LIVE'!$D$2:$D$1047)) *
  ('Regional allocations LIVE'!$D$2:$D$1047 &lt;= BB$4)
)</f>
        <v>16</v>
      </c>
      <c r="BB68" s="182" cm="1">
        <f t="array" ref="BB68">SUMPRODUCT(
  ('Regional allocations LIVE'!$H$2:$H$1047 = $O54) *
  (ISBLANK('Regional allocations LIVE'!$R$2:$R$1047) + ('Regional allocations LIVE'!$R$2:$R$1047 &gt;= BC$4)) *
  (ISNUMBER('Regional allocations LIVE'!$D$2:$D$1047)) *
  ('Regional allocations LIVE'!$D$2:$D$1047 &lt;= BC$4)
)</f>
        <v>16</v>
      </c>
      <c r="BC68" s="182" cm="1">
        <f t="array" ref="BC68">SUMPRODUCT(
  ('Regional allocations LIVE'!$H$2:$H$1047 = $O54) *
  (ISBLANK('Regional allocations LIVE'!$R$2:$R$1047) + ('Regional allocations LIVE'!$R$2:$R$1047 &gt;= BD$4)) *
  (ISNUMBER('Regional allocations LIVE'!$D$2:$D$1047)) *
  ('Regional allocations LIVE'!$D$2:$D$1047 &lt;= BD$4)
)</f>
        <v>16</v>
      </c>
      <c r="BD68" s="182" cm="1">
        <f t="array" ref="BD68">SUMPRODUCT(
  ('Regional allocations LIVE'!$H$2:$H$1047 = $O54) *
  (ISBLANK('Regional allocations LIVE'!$R$2:$R$1047) + ('Regional allocations LIVE'!$R$2:$R$1047 &gt;= BE$4)) *
  (ISNUMBER('Regional allocations LIVE'!$D$2:$D$1047)) *
  ('Regional allocations LIVE'!$D$2:$D$1047 &lt;= BE$4)
)</f>
        <v>16</v>
      </c>
    </row>
    <row r="69" spans="2:59" ht="12.75" x14ac:dyDescent="0.2">
      <c r="B69"/>
      <c r="C69"/>
      <c r="D69"/>
      <c r="Q69" s="152" t="s">
        <v>57</v>
      </c>
      <c r="R69" s="155"/>
      <c r="S69" s="155"/>
      <c r="T69" s="155"/>
      <c r="U69" s="155"/>
      <c r="V69" s="155"/>
      <c r="W69" s="171"/>
      <c r="X69" s="155"/>
      <c r="Y69" s="155"/>
      <c r="Z69" s="155"/>
      <c r="AA69" s="155"/>
      <c r="AB69" s="155"/>
      <c r="AC69" s="155"/>
      <c r="AD69" s="155"/>
      <c r="AE69" s="182"/>
      <c r="AF69" s="182"/>
      <c r="AG69" s="182" cm="1">
        <f t="array" ref="AG69">SUMPRODUCT(
  ('Regional allocations LIVE'!$H$2:$H$1047 = $O55) *
  (ISBLANK('Regional allocations LIVE'!$R$2:$R$1047) + ('Regional allocations LIVE'!$R$2:$R$1047 &gt;= AH$4)) *
  (ISNUMBER('Regional allocations LIVE'!$D$2:$D$1047)) *
  ('Regional allocations LIVE'!$D$2:$D$1047 &lt;= AH$4)
)</f>
        <v>46</v>
      </c>
      <c r="AH69" s="182" cm="1">
        <f t="array" ref="AH69">SUMPRODUCT(
  ('Regional allocations LIVE'!$H$2:$H$1047 = $O55) *
  (ISBLANK('Regional allocations LIVE'!$R$2:$R$1047) + ('Regional allocations LIVE'!$R$2:$R$1047 &gt;= AI$4)) *
  (ISNUMBER('Regional allocations LIVE'!$D$2:$D$1047)) *
  ('Regional allocations LIVE'!$D$2:$D$1047 &lt;= AI$4)
)</f>
        <v>47</v>
      </c>
      <c r="AI69" s="182" cm="1">
        <f t="array" ref="AI69">SUMPRODUCT(
  ('Regional allocations LIVE'!$H$2:$H$1047 = $O55) *
  (ISBLANK('Regional allocations LIVE'!$R$2:$R$1047) + ('Regional allocations LIVE'!$R$2:$R$1047 &gt;= AJ$4)) *
  (ISNUMBER('Regional allocations LIVE'!$D$2:$D$1047)) *
  ('Regional allocations LIVE'!$D$2:$D$1047 &lt;= AJ$4)
)</f>
        <v>46</v>
      </c>
      <c r="AJ69" s="182" cm="1">
        <f t="array" ref="AJ69">SUMPRODUCT(
  ('Regional allocations LIVE'!$H$2:$H$1047 = $O55) *
  (ISBLANK('Regional allocations LIVE'!$R$2:$R$1047) + ('Regional allocations LIVE'!$R$2:$R$1047 &gt;= AK$4)) *
  (ISNUMBER('Regional allocations LIVE'!$D$2:$D$1047)) *
  ('Regional allocations LIVE'!$D$2:$D$1047 &lt;= AK$4)
)</f>
        <v>47</v>
      </c>
      <c r="AK69" s="182" cm="1">
        <f t="array" ref="AK69">SUMPRODUCT(
  ('Regional allocations LIVE'!$H$2:$H$1047 = $O55) *
  (ISBLANK('Regional allocations LIVE'!$R$2:$R$1047) + ('Regional allocations LIVE'!$R$2:$R$1047 &gt;= AL$4)) *
  (ISNUMBER('Regional allocations LIVE'!$D$2:$D$1047)) *
  ('Regional allocations LIVE'!$D$2:$D$1047 &lt;= AL$4)
)</f>
        <v>47</v>
      </c>
      <c r="AL69" s="182" cm="1">
        <f t="array" ref="AL69">SUMPRODUCT(
  ('Regional allocations LIVE'!$H$2:$H$1047 = $O55) *
  (ISBLANK('Regional allocations LIVE'!$R$2:$R$1047) + ('Regional allocations LIVE'!$R$2:$R$1047 &gt;= AM$4)) *
  (ISNUMBER('Regional allocations LIVE'!$D$2:$D$1047)) *
  ('Regional allocations LIVE'!$D$2:$D$1047 &lt;= AM$4)
)</f>
        <v>48</v>
      </c>
      <c r="AM69" s="182" cm="1">
        <f t="array" ref="AM69">SUMPRODUCT(
  ('Regional allocations LIVE'!$H$2:$H$1047 = $O55) *
  (ISBLANK('Regional allocations LIVE'!$R$2:$R$1047) + ('Regional allocations LIVE'!$R$2:$R$1047 &gt;= AN$4)) *
  (ISNUMBER('Regional allocations LIVE'!$D$2:$D$1047)) *
  ('Regional allocations LIVE'!$D$2:$D$1047 &lt;= AN$4)
)</f>
        <v>48</v>
      </c>
      <c r="AN69" s="182" cm="1">
        <f t="array" ref="AN69">SUMPRODUCT(
  ('Regional allocations LIVE'!$H$2:$H$1047 = $O55) *
  (ISBLANK('Regional allocations LIVE'!$R$2:$R$1047) + ('Regional allocations LIVE'!$R$2:$R$1047 &gt;= AO$4)) *
  (ISNUMBER('Regional allocations LIVE'!$D$2:$D$1047)) *
  ('Regional allocations LIVE'!$D$2:$D$1047 &lt;= AO$4)
)</f>
        <v>48</v>
      </c>
      <c r="AO69" s="182" cm="1">
        <f t="array" ref="AO69">SUMPRODUCT(
  ('Regional allocations LIVE'!$H$2:$H$1047 = $O55) *
  (ISBLANK('Regional allocations LIVE'!$R$2:$R$1047) + ('Regional allocations LIVE'!$R$2:$R$1047 &gt;= AP$4)) *
  (ISNUMBER('Regional allocations LIVE'!$D$2:$D$1047)) *
  ('Regional allocations LIVE'!$D$2:$D$1047 &lt;= AP$4)
)</f>
        <v>48</v>
      </c>
      <c r="AP69" s="182" cm="1">
        <f t="array" ref="AP69">SUMPRODUCT(
  ('Regional allocations LIVE'!$H$2:$H$1047 = $O55) *
  (ISBLANK('Regional allocations LIVE'!$R$2:$R$1047) + ('Regional allocations LIVE'!$R$2:$R$1047 &gt;= AQ$4)) *
  (ISNUMBER('Regional allocations LIVE'!$D$2:$D$1047)) *
  ('Regional allocations LIVE'!$D$2:$D$1047 &lt;= AQ$4)
)</f>
        <v>48</v>
      </c>
      <c r="AQ69" s="182" cm="1">
        <f t="array" ref="AQ69">SUMPRODUCT(
  ('Regional allocations LIVE'!$H$2:$H$1047 = $O55) *
  (ISBLANK('Regional allocations LIVE'!$R$2:$R$1047) + ('Regional allocations LIVE'!$R$2:$R$1047 &gt;= AR$4)) *
  (ISNUMBER('Regional allocations LIVE'!$D$2:$D$1047)) *
  ('Regional allocations LIVE'!$D$2:$D$1047 &lt;= AR$4)
)</f>
        <v>48</v>
      </c>
      <c r="AR69" s="182" cm="1">
        <f t="array" ref="AR69">SUMPRODUCT(
  ('Regional allocations LIVE'!$H$2:$H$1047 = $O55) *
  (ISBLANK('Regional allocations LIVE'!$R$2:$R$1047) + ('Regional allocations LIVE'!$R$2:$R$1047 &gt;= AS$4)) *
  (ISNUMBER('Regional allocations LIVE'!$D$2:$D$1047)) *
  ('Regional allocations LIVE'!$D$2:$D$1047 &lt;= AS$4)
)</f>
        <v>48</v>
      </c>
      <c r="AS69" s="182" cm="1">
        <f t="array" ref="AS69">SUMPRODUCT(
  ('Regional allocations LIVE'!$H$2:$H$1047 = $O55) *
  (ISBLANK('Regional allocations LIVE'!$R$2:$R$1047) + ('Regional allocations LIVE'!$R$2:$R$1047 &gt;= AT$4)) *
  (ISNUMBER('Regional allocations LIVE'!$D$2:$D$1047)) *
  ('Regional allocations LIVE'!$D$2:$D$1047 &lt;= AT$4)
)</f>
        <v>48</v>
      </c>
      <c r="AT69" s="182" cm="1">
        <f t="array" ref="AT69">SUMPRODUCT(
  ('Regional allocations LIVE'!$H$2:$H$1047 = $O55) *
  (ISBLANK('Regional allocations LIVE'!$R$2:$R$1047) + ('Regional allocations LIVE'!$R$2:$R$1047 &gt;= AU$4)) *
  (ISNUMBER('Regional allocations LIVE'!$D$2:$D$1047)) *
  ('Regional allocations LIVE'!$D$2:$D$1047 &lt;= AU$4)
)</f>
        <v>48</v>
      </c>
      <c r="AU69" s="182" cm="1">
        <f t="array" ref="AU69">SUMPRODUCT(
  ('Regional allocations LIVE'!$H$2:$H$1047 = $O55) *
  (ISBLANK('Regional allocations LIVE'!$R$2:$R$1047) + ('Regional allocations LIVE'!$R$2:$R$1047 &gt;= AV$4)) *
  (ISNUMBER('Regional allocations LIVE'!$D$2:$D$1047)) *
  ('Regional allocations LIVE'!$D$2:$D$1047 &lt;= AV$4)
)</f>
        <v>48</v>
      </c>
      <c r="AV69" s="182" cm="1">
        <f t="array" ref="AV69">SUMPRODUCT(
  ('Regional allocations LIVE'!$H$2:$H$1047 = $O55) *
  (ISBLANK('Regional allocations LIVE'!$R$2:$R$1047) + ('Regional allocations LIVE'!$R$2:$R$1047 &gt;= AW$4)) *
  (ISNUMBER('Regional allocations LIVE'!$D$2:$D$1047)) *
  ('Regional allocations LIVE'!$D$2:$D$1047 &lt;= AW$4)
)</f>
        <v>48</v>
      </c>
      <c r="AW69" s="182" cm="1">
        <f t="array" ref="AW69">SUMPRODUCT(
  ('Regional allocations LIVE'!$H$2:$H$1047 = $O55) *
  (ISBLANK('Regional allocations LIVE'!$R$2:$R$1047) + ('Regional allocations LIVE'!$R$2:$R$1047 &gt;= AX$4)) *
  (ISNUMBER('Regional allocations LIVE'!$D$2:$D$1047)) *
  ('Regional allocations LIVE'!$D$2:$D$1047 &lt;= AX$4)
)</f>
        <v>48</v>
      </c>
      <c r="AX69" s="182" cm="1">
        <f t="array" ref="AX69">SUMPRODUCT(
  ('Regional allocations LIVE'!$H$2:$H$1047 = $O55) *
  (ISBLANK('Regional allocations LIVE'!$R$2:$R$1047) + ('Regional allocations LIVE'!$R$2:$R$1047 &gt;= AY$4)) *
  (ISNUMBER('Regional allocations LIVE'!$D$2:$D$1047)) *
  ('Regional allocations LIVE'!$D$2:$D$1047 &lt;= AY$4)
)</f>
        <v>48</v>
      </c>
      <c r="AY69" s="182" cm="1">
        <f t="array" ref="AY69">SUMPRODUCT(
  ('Regional allocations LIVE'!$H$2:$H$1047 = $O55) *
  (ISBLANK('Regional allocations LIVE'!$R$2:$R$1047) + ('Regional allocations LIVE'!$R$2:$R$1047 &gt;= AZ$4)) *
  (ISNUMBER('Regional allocations LIVE'!$D$2:$D$1047)) *
  ('Regional allocations LIVE'!$D$2:$D$1047 &lt;= AZ$4)
)</f>
        <v>48</v>
      </c>
      <c r="AZ69" s="182" cm="1">
        <f t="array" ref="AZ69">SUMPRODUCT(
  ('Regional allocations LIVE'!$H$2:$H$1047 = $O55) *
  (ISBLANK('Regional allocations LIVE'!$R$2:$R$1047) + ('Regional allocations LIVE'!$R$2:$R$1047 &gt;= BA$4)) *
  (ISNUMBER('Regional allocations LIVE'!$D$2:$D$1047)) *
  ('Regional allocations LIVE'!$D$2:$D$1047 &lt;= BA$4)
)</f>
        <v>48</v>
      </c>
      <c r="BA69" s="182" cm="1">
        <f t="array" ref="BA69">SUMPRODUCT(
  ('Regional allocations LIVE'!$H$2:$H$1047 = $O55) *
  (ISBLANK('Regional allocations LIVE'!$R$2:$R$1047) + ('Regional allocations LIVE'!$R$2:$R$1047 &gt;= BB$4)) *
  (ISNUMBER('Regional allocations LIVE'!$D$2:$D$1047)) *
  ('Regional allocations LIVE'!$D$2:$D$1047 &lt;= BB$4)
)</f>
        <v>48</v>
      </c>
      <c r="BB69" s="182" cm="1">
        <f t="array" ref="BB69">SUMPRODUCT(
  ('Regional allocations LIVE'!$H$2:$H$1047 = $O55) *
  (ISBLANK('Regional allocations LIVE'!$R$2:$R$1047) + ('Regional allocations LIVE'!$R$2:$R$1047 &gt;= BC$4)) *
  (ISNUMBER('Regional allocations LIVE'!$D$2:$D$1047)) *
  ('Regional allocations LIVE'!$D$2:$D$1047 &lt;= BC$4)
)</f>
        <v>48</v>
      </c>
      <c r="BC69" s="182" cm="1">
        <f t="array" ref="BC69">SUMPRODUCT(
  ('Regional allocations LIVE'!$H$2:$H$1047 = $O55) *
  (ISBLANK('Regional allocations LIVE'!$R$2:$R$1047) + ('Regional allocations LIVE'!$R$2:$R$1047 &gt;= BD$4)) *
  (ISNUMBER('Regional allocations LIVE'!$D$2:$D$1047)) *
  ('Regional allocations LIVE'!$D$2:$D$1047 &lt;= BD$4)
)</f>
        <v>48</v>
      </c>
      <c r="BD69" s="182" cm="1">
        <f t="array" ref="BD69">SUMPRODUCT(
  ('Regional allocations LIVE'!$H$2:$H$1047 = $O55) *
  (ISBLANK('Regional allocations LIVE'!$R$2:$R$1047) + ('Regional allocations LIVE'!$R$2:$R$1047 &gt;= BE$4)) *
  (ISNUMBER('Regional allocations LIVE'!$D$2:$D$1047)) *
  ('Regional allocations LIVE'!$D$2:$D$1047 &lt;= BE$4)
)</f>
        <v>48</v>
      </c>
    </row>
    <row r="70" spans="2:59" ht="12.75" x14ac:dyDescent="0.2">
      <c r="B70"/>
      <c r="C70"/>
      <c r="D70"/>
      <c r="Q70" s="152" t="s">
        <v>59</v>
      </c>
      <c r="R70" s="155"/>
      <c r="S70" s="155"/>
      <c r="T70" s="155"/>
      <c r="U70" s="155"/>
      <c r="V70" s="155"/>
      <c r="W70" s="171"/>
      <c r="X70" s="155"/>
      <c r="Y70" s="155"/>
      <c r="Z70" s="155"/>
      <c r="AA70" s="155"/>
      <c r="AB70" s="155"/>
      <c r="AC70" s="155"/>
      <c r="AD70" s="155"/>
      <c r="AE70" s="182"/>
      <c r="AF70" s="182"/>
      <c r="AG70" s="182" cm="1">
        <f t="array" ref="AG70">SUMPRODUCT(
  ('Regional allocations LIVE'!$H$2:$H$1047 = $O56) *
  (ISBLANK('Regional allocations LIVE'!$R$2:$R$1047) + ('Regional allocations LIVE'!$R$2:$R$1047 &gt;= AH$4)) *
  (ISNUMBER('Regional allocations LIVE'!$D$2:$D$1047)) *
  ('Regional allocations LIVE'!$D$2:$D$1047 &lt;= AH$4)
)</f>
        <v>17</v>
      </c>
      <c r="AH70" s="182" cm="1">
        <f t="array" ref="AH70">SUMPRODUCT(
  ('Regional allocations LIVE'!$H$2:$H$1047 = $O56) *
  (ISBLANK('Regional allocations LIVE'!$R$2:$R$1047) + ('Regional allocations LIVE'!$R$2:$R$1047 &gt;= AI$4)) *
  (ISNUMBER('Regional allocations LIVE'!$D$2:$D$1047)) *
  ('Regional allocations LIVE'!$D$2:$D$1047 &lt;= AI$4)
)</f>
        <v>17</v>
      </c>
      <c r="AI70" s="182" cm="1">
        <f t="array" ref="AI70">SUMPRODUCT(
  ('Regional allocations LIVE'!$H$2:$H$1047 = $O56) *
  (ISBLANK('Regional allocations LIVE'!$R$2:$R$1047) + ('Regional allocations LIVE'!$R$2:$R$1047 &gt;= AJ$4)) *
  (ISNUMBER('Regional allocations LIVE'!$D$2:$D$1047)) *
  ('Regional allocations LIVE'!$D$2:$D$1047 &lt;= AJ$4)
)</f>
        <v>17</v>
      </c>
      <c r="AJ70" s="182" cm="1">
        <f t="array" ref="AJ70">SUMPRODUCT(
  ('Regional allocations LIVE'!$H$2:$H$1047 = $O56) *
  (ISBLANK('Regional allocations LIVE'!$R$2:$R$1047) + ('Regional allocations LIVE'!$R$2:$R$1047 &gt;= AK$4)) *
  (ISNUMBER('Regional allocations LIVE'!$D$2:$D$1047)) *
  ('Regional allocations LIVE'!$D$2:$D$1047 &lt;= AK$4)
)</f>
        <v>18</v>
      </c>
      <c r="AK70" s="182" cm="1">
        <f t="array" ref="AK70">SUMPRODUCT(
  ('Regional allocations LIVE'!$H$2:$H$1047 = $O56) *
  (ISBLANK('Regional allocations LIVE'!$R$2:$R$1047) + ('Regional allocations LIVE'!$R$2:$R$1047 &gt;= AL$4)) *
  (ISNUMBER('Regional allocations LIVE'!$D$2:$D$1047)) *
  ('Regional allocations LIVE'!$D$2:$D$1047 &lt;= AL$4)
)</f>
        <v>18</v>
      </c>
      <c r="AL70" s="182" cm="1">
        <f t="array" ref="AL70">SUMPRODUCT(
  ('Regional allocations LIVE'!$H$2:$H$1047 = $O56) *
  (ISBLANK('Regional allocations LIVE'!$R$2:$R$1047) + ('Regional allocations LIVE'!$R$2:$R$1047 &gt;= AM$4)) *
  (ISNUMBER('Regional allocations LIVE'!$D$2:$D$1047)) *
  ('Regional allocations LIVE'!$D$2:$D$1047 &lt;= AM$4)
)</f>
        <v>18</v>
      </c>
      <c r="AM70" s="182" cm="1">
        <f t="array" ref="AM70">SUMPRODUCT(
  ('Regional allocations LIVE'!$H$2:$H$1047 = $O56) *
  (ISBLANK('Regional allocations LIVE'!$R$2:$R$1047) + ('Regional allocations LIVE'!$R$2:$R$1047 &gt;= AN$4)) *
  (ISNUMBER('Regional allocations LIVE'!$D$2:$D$1047)) *
  ('Regional allocations LIVE'!$D$2:$D$1047 &lt;= AN$4)
)</f>
        <v>18</v>
      </c>
      <c r="AN70" s="182" cm="1">
        <f t="array" ref="AN70">SUMPRODUCT(
  ('Regional allocations LIVE'!$H$2:$H$1047 = $O56) *
  (ISBLANK('Regional allocations LIVE'!$R$2:$R$1047) + ('Regional allocations LIVE'!$R$2:$R$1047 &gt;= AO$4)) *
  (ISNUMBER('Regional allocations LIVE'!$D$2:$D$1047)) *
  ('Regional allocations LIVE'!$D$2:$D$1047 &lt;= AO$4)
)</f>
        <v>18</v>
      </c>
      <c r="AO70" s="182" cm="1">
        <f t="array" ref="AO70">SUMPRODUCT(
  ('Regional allocations LIVE'!$H$2:$H$1047 = $O56) *
  (ISBLANK('Regional allocations LIVE'!$R$2:$R$1047) + ('Regional allocations LIVE'!$R$2:$R$1047 &gt;= AP$4)) *
  (ISNUMBER('Regional allocations LIVE'!$D$2:$D$1047)) *
  ('Regional allocations LIVE'!$D$2:$D$1047 &lt;= AP$4)
)</f>
        <v>18</v>
      </c>
      <c r="AP70" s="182" cm="1">
        <f t="array" ref="AP70">SUMPRODUCT(
  ('Regional allocations LIVE'!$H$2:$H$1047 = $O56) *
  (ISBLANK('Regional allocations LIVE'!$R$2:$R$1047) + ('Regional allocations LIVE'!$R$2:$R$1047 &gt;= AQ$4)) *
  (ISNUMBER('Regional allocations LIVE'!$D$2:$D$1047)) *
  ('Regional allocations LIVE'!$D$2:$D$1047 &lt;= AQ$4)
)</f>
        <v>18</v>
      </c>
      <c r="AQ70" s="182" cm="1">
        <f t="array" ref="AQ70">SUMPRODUCT(
  ('Regional allocations LIVE'!$H$2:$H$1047 = $O56) *
  (ISBLANK('Regional allocations LIVE'!$R$2:$R$1047) + ('Regional allocations LIVE'!$R$2:$R$1047 &gt;= AR$4)) *
  (ISNUMBER('Regional allocations LIVE'!$D$2:$D$1047)) *
  ('Regional allocations LIVE'!$D$2:$D$1047 &lt;= AR$4)
)</f>
        <v>18</v>
      </c>
      <c r="AR70" s="182" cm="1">
        <f t="array" ref="AR70">SUMPRODUCT(
  ('Regional allocations LIVE'!$H$2:$H$1047 = $O56) *
  (ISBLANK('Regional allocations LIVE'!$R$2:$R$1047) + ('Regional allocations LIVE'!$R$2:$R$1047 &gt;= AS$4)) *
  (ISNUMBER('Regional allocations LIVE'!$D$2:$D$1047)) *
  ('Regional allocations LIVE'!$D$2:$D$1047 &lt;= AS$4)
)</f>
        <v>18</v>
      </c>
      <c r="AS70" s="182" cm="1">
        <f t="array" ref="AS70">SUMPRODUCT(
  ('Regional allocations LIVE'!$H$2:$H$1047 = $O56) *
  (ISBLANK('Regional allocations LIVE'!$R$2:$R$1047) + ('Regional allocations LIVE'!$R$2:$R$1047 &gt;= AT$4)) *
  (ISNUMBER('Regional allocations LIVE'!$D$2:$D$1047)) *
  ('Regional allocations LIVE'!$D$2:$D$1047 &lt;= AT$4)
)</f>
        <v>18</v>
      </c>
      <c r="AT70" s="182" cm="1">
        <f t="array" ref="AT70">SUMPRODUCT(
  ('Regional allocations LIVE'!$H$2:$H$1047 = $O56) *
  (ISBLANK('Regional allocations LIVE'!$R$2:$R$1047) + ('Regional allocations LIVE'!$R$2:$R$1047 &gt;= AU$4)) *
  (ISNUMBER('Regional allocations LIVE'!$D$2:$D$1047)) *
  ('Regional allocations LIVE'!$D$2:$D$1047 &lt;= AU$4)
)</f>
        <v>18</v>
      </c>
      <c r="AU70" s="182" cm="1">
        <f t="array" ref="AU70">SUMPRODUCT(
  ('Regional allocations LIVE'!$H$2:$H$1047 = $O56) *
  (ISBLANK('Regional allocations LIVE'!$R$2:$R$1047) + ('Regional allocations LIVE'!$R$2:$R$1047 &gt;= AV$4)) *
  (ISNUMBER('Regional allocations LIVE'!$D$2:$D$1047)) *
  ('Regional allocations LIVE'!$D$2:$D$1047 &lt;= AV$4)
)</f>
        <v>18</v>
      </c>
      <c r="AV70" s="182" cm="1">
        <f t="array" ref="AV70">SUMPRODUCT(
  ('Regional allocations LIVE'!$H$2:$H$1047 = $O56) *
  (ISBLANK('Regional allocations LIVE'!$R$2:$R$1047) + ('Regional allocations LIVE'!$R$2:$R$1047 &gt;= AW$4)) *
  (ISNUMBER('Regional allocations LIVE'!$D$2:$D$1047)) *
  ('Regional allocations LIVE'!$D$2:$D$1047 &lt;= AW$4)
)</f>
        <v>18</v>
      </c>
      <c r="AW70" s="182" cm="1">
        <f t="array" ref="AW70">SUMPRODUCT(
  ('Regional allocations LIVE'!$H$2:$H$1047 = $O56) *
  (ISBLANK('Regional allocations LIVE'!$R$2:$R$1047) + ('Regional allocations LIVE'!$R$2:$R$1047 &gt;= AX$4)) *
  (ISNUMBER('Regional allocations LIVE'!$D$2:$D$1047)) *
  ('Regional allocations LIVE'!$D$2:$D$1047 &lt;= AX$4)
)</f>
        <v>18</v>
      </c>
      <c r="AX70" s="182" cm="1">
        <f t="array" ref="AX70">SUMPRODUCT(
  ('Regional allocations LIVE'!$H$2:$H$1047 = $O56) *
  (ISBLANK('Regional allocations LIVE'!$R$2:$R$1047) + ('Regional allocations LIVE'!$R$2:$R$1047 &gt;= AY$4)) *
  (ISNUMBER('Regional allocations LIVE'!$D$2:$D$1047)) *
  ('Regional allocations LIVE'!$D$2:$D$1047 &lt;= AY$4)
)</f>
        <v>18</v>
      </c>
      <c r="AY70" s="182" cm="1">
        <f t="array" ref="AY70">SUMPRODUCT(
  ('Regional allocations LIVE'!$H$2:$H$1047 = $O56) *
  (ISBLANK('Regional allocations LIVE'!$R$2:$R$1047) + ('Regional allocations LIVE'!$R$2:$R$1047 &gt;= AZ$4)) *
  (ISNUMBER('Regional allocations LIVE'!$D$2:$D$1047)) *
  ('Regional allocations LIVE'!$D$2:$D$1047 &lt;= AZ$4)
)</f>
        <v>18</v>
      </c>
      <c r="AZ70" s="182" cm="1">
        <f t="array" ref="AZ70">SUMPRODUCT(
  ('Regional allocations LIVE'!$H$2:$H$1047 = $O56) *
  (ISBLANK('Regional allocations LIVE'!$R$2:$R$1047) + ('Regional allocations LIVE'!$R$2:$R$1047 &gt;= BA$4)) *
  (ISNUMBER('Regional allocations LIVE'!$D$2:$D$1047)) *
  ('Regional allocations LIVE'!$D$2:$D$1047 &lt;= BA$4)
)</f>
        <v>18</v>
      </c>
      <c r="BA70" s="182" cm="1">
        <f t="array" ref="BA70">SUMPRODUCT(
  ('Regional allocations LIVE'!$H$2:$H$1047 = $O56) *
  (ISBLANK('Regional allocations LIVE'!$R$2:$R$1047) + ('Regional allocations LIVE'!$R$2:$R$1047 &gt;= BB$4)) *
  (ISNUMBER('Regional allocations LIVE'!$D$2:$D$1047)) *
  ('Regional allocations LIVE'!$D$2:$D$1047 &lt;= BB$4)
)</f>
        <v>18</v>
      </c>
      <c r="BB70" s="182" cm="1">
        <f t="array" ref="BB70">SUMPRODUCT(
  ('Regional allocations LIVE'!$H$2:$H$1047 = $O56) *
  (ISBLANK('Regional allocations LIVE'!$R$2:$R$1047) + ('Regional allocations LIVE'!$R$2:$R$1047 &gt;= BC$4)) *
  (ISNUMBER('Regional allocations LIVE'!$D$2:$D$1047)) *
  ('Regional allocations LIVE'!$D$2:$D$1047 &lt;= BC$4)
)</f>
        <v>18</v>
      </c>
      <c r="BC70" s="182" cm="1">
        <f t="array" ref="BC70">SUMPRODUCT(
  ('Regional allocations LIVE'!$H$2:$H$1047 = $O56) *
  (ISBLANK('Regional allocations LIVE'!$R$2:$R$1047) + ('Regional allocations LIVE'!$R$2:$R$1047 &gt;= BD$4)) *
  (ISNUMBER('Regional allocations LIVE'!$D$2:$D$1047)) *
  ('Regional allocations LIVE'!$D$2:$D$1047 &lt;= BD$4)
)</f>
        <v>18</v>
      </c>
      <c r="BD70" s="182" cm="1">
        <f t="array" ref="BD70">SUMPRODUCT(
  ('Regional allocations LIVE'!$H$2:$H$1047 = $O56) *
  (ISBLANK('Regional allocations LIVE'!$R$2:$R$1047) + ('Regional allocations LIVE'!$R$2:$R$1047 &gt;= BE$4)) *
  (ISNUMBER('Regional allocations LIVE'!$D$2:$D$1047)) *
  ('Regional allocations LIVE'!$D$2:$D$1047 &lt;= BE$4)
)</f>
        <v>18</v>
      </c>
    </row>
    <row r="71" spans="2:59" ht="12.75" x14ac:dyDescent="0.2">
      <c r="B71"/>
      <c r="C71"/>
      <c r="D71"/>
      <c r="Q71" s="152" t="s">
        <v>60</v>
      </c>
      <c r="R71" s="155"/>
      <c r="S71" s="155"/>
      <c r="T71" s="155"/>
      <c r="U71" s="155"/>
      <c r="V71" s="155"/>
      <c r="W71" s="171"/>
      <c r="X71" s="155"/>
      <c r="Y71" s="155"/>
      <c r="Z71" s="155"/>
      <c r="AA71" s="155"/>
      <c r="AB71" s="155"/>
      <c r="AC71" s="155"/>
      <c r="AD71" s="155"/>
      <c r="AE71" s="182"/>
      <c r="AF71" s="182"/>
      <c r="AG71" s="182" cm="1">
        <f t="array" ref="AG71">SUMPRODUCT(
  ('Regional allocations LIVE'!$H$2:$H$1047 = $O57) *
  (ISBLANK('Regional allocations LIVE'!$R$2:$R$1047) + ('Regional allocations LIVE'!$R$2:$R$1047 &gt;= AH$4)) *
  (ISNUMBER('Regional allocations LIVE'!$D$2:$D$1047)) *
  ('Regional allocations LIVE'!$D$2:$D$1047 &lt;= AH$4)
)</f>
        <v>1</v>
      </c>
      <c r="AH71" s="182" cm="1">
        <f t="array" ref="AH71">SUMPRODUCT(
  ('Regional allocations LIVE'!$H$2:$H$1047 = $O57) *
  (ISBLANK('Regional allocations LIVE'!$R$2:$R$1047) + ('Regional allocations LIVE'!$R$2:$R$1047 &gt;= AI$4)) *
  (ISNUMBER('Regional allocations LIVE'!$D$2:$D$1047)) *
  ('Regional allocations LIVE'!$D$2:$D$1047 &lt;= AI$4)
)</f>
        <v>1</v>
      </c>
      <c r="AI71" s="182" cm="1">
        <f t="array" ref="AI71">SUMPRODUCT(
  ('Regional allocations LIVE'!$H$2:$H$1047 = $O57) *
  (ISBLANK('Regional allocations LIVE'!$R$2:$R$1047) + ('Regional allocations LIVE'!$R$2:$R$1047 &gt;= AJ$4)) *
  (ISNUMBER('Regional allocations LIVE'!$D$2:$D$1047)) *
  ('Regional allocations LIVE'!$D$2:$D$1047 &lt;= AJ$4)
)</f>
        <v>1</v>
      </c>
      <c r="AJ71" s="182" cm="1">
        <f t="array" ref="AJ71">SUMPRODUCT(
  ('Regional allocations LIVE'!$H$2:$H$1047 = $O57) *
  (ISBLANK('Regional allocations LIVE'!$R$2:$R$1047) + ('Regional allocations LIVE'!$R$2:$R$1047 &gt;= AK$4)) *
  (ISNUMBER('Regional allocations LIVE'!$D$2:$D$1047)) *
  ('Regional allocations LIVE'!$D$2:$D$1047 &lt;= AK$4)
)</f>
        <v>1</v>
      </c>
      <c r="AK71" s="182" cm="1">
        <f t="array" ref="AK71">SUMPRODUCT(
  ('Regional allocations LIVE'!$H$2:$H$1047 = $O57) *
  (ISBLANK('Regional allocations LIVE'!$R$2:$R$1047) + ('Regional allocations LIVE'!$R$2:$R$1047 &gt;= AL$4)) *
  (ISNUMBER('Regional allocations LIVE'!$D$2:$D$1047)) *
  ('Regional allocations LIVE'!$D$2:$D$1047 &lt;= AL$4)
)</f>
        <v>1</v>
      </c>
      <c r="AL71" s="182" cm="1">
        <f t="array" ref="AL71">SUMPRODUCT(
  ('Regional allocations LIVE'!$H$2:$H$1047 = $O57) *
  (ISBLANK('Regional allocations LIVE'!$R$2:$R$1047) + ('Regional allocations LIVE'!$R$2:$R$1047 &gt;= AM$4)) *
  (ISNUMBER('Regional allocations LIVE'!$D$2:$D$1047)) *
  ('Regional allocations LIVE'!$D$2:$D$1047 &lt;= AM$4)
)</f>
        <v>1</v>
      </c>
      <c r="AM71" s="182" cm="1">
        <f t="array" ref="AM71">SUMPRODUCT(
  ('Regional allocations LIVE'!$H$2:$H$1047 = $O57) *
  (ISBLANK('Regional allocations LIVE'!$R$2:$R$1047) + ('Regional allocations LIVE'!$R$2:$R$1047 &gt;= AN$4)) *
  (ISNUMBER('Regional allocations LIVE'!$D$2:$D$1047)) *
  ('Regional allocations LIVE'!$D$2:$D$1047 &lt;= AN$4)
)</f>
        <v>1</v>
      </c>
      <c r="AN71" s="182" cm="1">
        <f t="array" ref="AN71">SUMPRODUCT(
  ('Regional allocations LIVE'!$H$2:$H$1047 = $O57) *
  (ISBLANK('Regional allocations LIVE'!$R$2:$R$1047) + ('Regional allocations LIVE'!$R$2:$R$1047 &gt;= AO$4)) *
  (ISNUMBER('Regional allocations LIVE'!$D$2:$D$1047)) *
  ('Regional allocations LIVE'!$D$2:$D$1047 &lt;= AO$4)
)</f>
        <v>1</v>
      </c>
      <c r="AO71" s="182" cm="1">
        <f t="array" ref="AO71">SUMPRODUCT(
  ('Regional allocations LIVE'!$H$2:$H$1047 = $O57) *
  (ISBLANK('Regional allocations LIVE'!$R$2:$R$1047) + ('Regional allocations LIVE'!$R$2:$R$1047 &gt;= AP$4)) *
  (ISNUMBER('Regional allocations LIVE'!$D$2:$D$1047)) *
  ('Regional allocations LIVE'!$D$2:$D$1047 &lt;= AP$4)
)</f>
        <v>1</v>
      </c>
      <c r="AP71" s="182" cm="1">
        <f t="array" ref="AP71">SUMPRODUCT(
  ('Regional allocations LIVE'!$H$2:$H$1047 = $O57) *
  (ISBLANK('Regional allocations LIVE'!$R$2:$R$1047) + ('Regional allocations LIVE'!$R$2:$R$1047 &gt;= AQ$4)) *
  (ISNUMBER('Regional allocations LIVE'!$D$2:$D$1047)) *
  ('Regional allocations LIVE'!$D$2:$D$1047 &lt;= AQ$4)
)</f>
        <v>1</v>
      </c>
      <c r="AQ71" s="182" cm="1">
        <f t="array" ref="AQ71">SUMPRODUCT(
  ('Regional allocations LIVE'!$H$2:$H$1047 = $O57) *
  (ISBLANK('Regional allocations LIVE'!$R$2:$R$1047) + ('Regional allocations LIVE'!$R$2:$R$1047 &gt;= AR$4)) *
  (ISNUMBER('Regional allocations LIVE'!$D$2:$D$1047)) *
  ('Regional allocations LIVE'!$D$2:$D$1047 &lt;= AR$4)
)</f>
        <v>1</v>
      </c>
      <c r="AR71" s="182" cm="1">
        <f t="array" ref="AR71">SUMPRODUCT(
  ('Regional allocations LIVE'!$H$2:$H$1047 = $O57) *
  (ISBLANK('Regional allocations LIVE'!$R$2:$R$1047) + ('Regional allocations LIVE'!$R$2:$R$1047 &gt;= AS$4)) *
  (ISNUMBER('Regional allocations LIVE'!$D$2:$D$1047)) *
  ('Regional allocations LIVE'!$D$2:$D$1047 &lt;= AS$4)
)</f>
        <v>1</v>
      </c>
      <c r="AS71" s="182" cm="1">
        <f t="array" ref="AS71">SUMPRODUCT(
  ('Regional allocations LIVE'!$H$2:$H$1047 = $O57) *
  (ISBLANK('Regional allocations LIVE'!$R$2:$R$1047) + ('Regional allocations LIVE'!$R$2:$R$1047 &gt;= AT$4)) *
  (ISNUMBER('Regional allocations LIVE'!$D$2:$D$1047)) *
  ('Regional allocations LIVE'!$D$2:$D$1047 &lt;= AT$4)
)</f>
        <v>1</v>
      </c>
      <c r="AT71" s="182" cm="1">
        <f t="array" ref="AT71">SUMPRODUCT(
  ('Regional allocations LIVE'!$H$2:$H$1047 = $O57) *
  (ISBLANK('Regional allocations LIVE'!$R$2:$R$1047) + ('Regional allocations LIVE'!$R$2:$R$1047 &gt;= AU$4)) *
  (ISNUMBER('Regional allocations LIVE'!$D$2:$D$1047)) *
  ('Regional allocations LIVE'!$D$2:$D$1047 &lt;= AU$4)
)</f>
        <v>1</v>
      </c>
      <c r="AU71" s="182" cm="1">
        <f t="array" ref="AU71">SUMPRODUCT(
  ('Regional allocations LIVE'!$H$2:$H$1047 = $O57) *
  (ISBLANK('Regional allocations LIVE'!$R$2:$R$1047) + ('Regional allocations LIVE'!$R$2:$R$1047 &gt;= AV$4)) *
  (ISNUMBER('Regional allocations LIVE'!$D$2:$D$1047)) *
  ('Regional allocations LIVE'!$D$2:$D$1047 &lt;= AV$4)
)</f>
        <v>1</v>
      </c>
      <c r="AV71" s="182" cm="1">
        <f t="array" ref="AV71">SUMPRODUCT(
  ('Regional allocations LIVE'!$H$2:$H$1047 = $O57) *
  (ISBLANK('Regional allocations LIVE'!$R$2:$R$1047) + ('Regional allocations LIVE'!$R$2:$R$1047 &gt;= AW$4)) *
  (ISNUMBER('Regional allocations LIVE'!$D$2:$D$1047)) *
  ('Regional allocations LIVE'!$D$2:$D$1047 &lt;= AW$4)
)</f>
        <v>1</v>
      </c>
      <c r="AW71" s="182" cm="1">
        <f t="array" ref="AW71">SUMPRODUCT(
  ('Regional allocations LIVE'!$H$2:$H$1047 = $O57) *
  (ISBLANK('Regional allocations LIVE'!$R$2:$R$1047) + ('Regional allocations LIVE'!$R$2:$R$1047 &gt;= AX$4)) *
  (ISNUMBER('Regional allocations LIVE'!$D$2:$D$1047)) *
  ('Regional allocations LIVE'!$D$2:$D$1047 &lt;= AX$4)
)</f>
        <v>1</v>
      </c>
      <c r="AX71" s="182" cm="1">
        <f t="array" ref="AX71">SUMPRODUCT(
  ('Regional allocations LIVE'!$H$2:$H$1047 = $O57) *
  (ISBLANK('Regional allocations LIVE'!$R$2:$R$1047) + ('Regional allocations LIVE'!$R$2:$R$1047 &gt;= AY$4)) *
  (ISNUMBER('Regional allocations LIVE'!$D$2:$D$1047)) *
  ('Regional allocations LIVE'!$D$2:$D$1047 &lt;= AY$4)
)</f>
        <v>1</v>
      </c>
      <c r="AY71" s="182" cm="1">
        <f t="array" ref="AY71">SUMPRODUCT(
  ('Regional allocations LIVE'!$H$2:$H$1047 = $O57) *
  (ISBLANK('Regional allocations LIVE'!$R$2:$R$1047) + ('Regional allocations LIVE'!$R$2:$R$1047 &gt;= AZ$4)) *
  (ISNUMBER('Regional allocations LIVE'!$D$2:$D$1047)) *
  ('Regional allocations LIVE'!$D$2:$D$1047 &lt;= AZ$4)
)</f>
        <v>1</v>
      </c>
      <c r="AZ71" s="182" cm="1">
        <f t="array" ref="AZ71">SUMPRODUCT(
  ('Regional allocations LIVE'!$H$2:$H$1047 = $O57) *
  (ISBLANK('Regional allocations LIVE'!$R$2:$R$1047) + ('Regional allocations LIVE'!$R$2:$R$1047 &gt;= BA$4)) *
  (ISNUMBER('Regional allocations LIVE'!$D$2:$D$1047)) *
  ('Regional allocations LIVE'!$D$2:$D$1047 &lt;= BA$4)
)</f>
        <v>1</v>
      </c>
      <c r="BA71" s="182" cm="1">
        <f t="array" ref="BA71">SUMPRODUCT(
  ('Regional allocations LIVE'!$H$2:$H$1047 = $O57) *
  (ISBLANK('Regional allocations LIVE'!$R$2:$R$1047) + ('Regional allocations LIVE'!$R$2:$R$1047 &gt;= BB$4)) *
  (ISNUMBER('Regional allocations LIVE'!$D$2:$D$1047)) *
  ('Regional allocations LIVE'!$D$2:$D$1047 &lt;= BB$4)
)</f>
        <v>1</v>
      </c>
      <c r="BB71" s="182" cm="1">
        <f t="array" ref="BB71">SUMPRODUCT(
  ('Regional allocations LIVE'!$H$2:$H$1047 = $O57) *
  (ISBLANK('Regional allocations LIVE'!$R$2:$R$1047) + ('Regional allocations LIVE'!$R$2:$R$1047 &gt;= BC$4)) *
  (ISNUMBER('Regional allocations LIVE'!$D$2:$D$1047)) *
  ('Regional allocations LIVE'!$D$2:$D$1047 &lt;= BC$4)
)</f>
        <v>1</v>
      </c>
      <c r="BC71" s="182" cm="1">
        <f t="array" ref="BC71">SUMPRODUCT(
  ('Regional allocations LIVE'!$H$2:$H$1047 = $O57) *
  (ISBLANK('Regional allocations LIVE'!$R$2:$R$1047) + ('Regional allocations LIVE'!$R$2:$R$1047 &gt;= BD$4)) *
  (ISNUMBER('Regional allocations LIVE'!$D$2:$D$1047)) *
  ('Regional allocations LIVE'!$D$2:$D$1047 &lt;= BD$4)
)</f>
        <v>1</v>
      </c>
      <c r="BD71" s="182" cm="1">
        <f t="array" ref="BD71">SUMPRODUCT(
  ('Regional allocations LIVE'!$H$2:$H$1047 = $O57) *
  (ISBLANK('Regional allocations LIVE'!$R$2:$R$1047) + ('Regional allocations LIVE'!$R$2:$R$1047 &gt;= BE$4)) *
  (ISNUMBER('Regional allocations LIVE'!$D$2:$D$1047)) *
  ('Regional allocations LIVE'!$D$2:$D$1047 &lt;= BE$4)
)</f>
        <v>1</v>
      </c>
    </row>
    <row r="72" spans="2:59" ht="12.75" x14ac:dyDescent="0.2">
      <c r="B72"/>
      <c r="C72"/>
      <c r="D72"/>
      <c r="Q72" s="152" t="s">
        <v>61</v>
      </c>
      <c r="R72" s="155"/>
      <c r="S72" s="155"/>
      <c r="T72" s="155"/>
      <c r="U72" s="155"/>
      <c r="V72" s="155"/>
      <c r="W72" s="171"/>
      <c r="X72" s="155"/>
      <c r="Y72" s="155"/>
      <c r="Z72" s="155"/>
      <c r="AA72" s="155"/>
      <c r="AB72" s="155"/>
      <c r="AC72" s="155"/>
      <c r="AD72" s="155"/>
      <c r="AE72" s="182"/>
      <c r="AF72" s="182"/>
      <c r="AG72" s="182" cm="1">
        <f t="array" ref="AG72">SUMPRODUCT(
  ('Regional allocations LIVE'!$H$2:$H$1047 = $O58) *
  (ISBLANK('Regional allocations LIVE'!$R$2:$R$1047) + ('Regional allocations LIVE'!$R$2:$R$1047 &gt;= AH$4)) *
  (ISNUMBER('Regional allocations LIVE'!$D$2:$D$1047)) *
  ('Regional allocations LIVE'!$D$2:$D$1047 &lt;= AH$4)
)</f>
        <v>41</v>
      </c>
      <c r="AH72" s="182" cm="1">
        <f t="array" ref="AH72">SUMPRODUCT(
  ('Regional allocations LIVE'!$H$2:$H$1047 = $O58) *
  (ISBLANK('Regional allocations LIVE'!$R$2:$R$1047) + ('Regional allocations LIVE'!$R$2:$R$1047 &gt;= AI$4)) *
  (ISNUMBER('Regional allocations LIVE'!$D$2:$D$1047)) *
  ('Regional allocations LIVE'!$D$2:$D$1047 &lt;= AI$4)
)</f>
        <v>40</v>
      </c>
      <c r="AI72" s="182" cm="1">
        <f t="array" ref="AI72">SUMPRODUCT(
  ('Regional allocations LIVE'!$H$2:$H$1047 = $O58) *
  (ISBLANK('Regional allocations LIVE'!$R$2:$R$1047) + ('Regional allocations LIVE'!$R$2:$R$1047 &gt;= AJ$4)) *
  (ISNUMBER('Regional allocations LIVE'!$D$2:$D$1047)) *
  ('Regional allocations LIVE'!$D$2:$D$1047 &lt;= AJ$4)
)</f>
        <v>38</v>
      </c>
      <c r="AJ72" s="182" cm="1">
        <f t="array" ref="AJ72">SUMPRODUCT(
  ('Regional allocations LIVE'!$H$2:$H$1047 = $O58) *
  (ISBLANK('Regional allocations LIVE'!$R$2:$R$1047) + ('Regional allocations LIVE'!$R$2:$R$1047 &gt;= AK$4)) *
  (ISNUMBER('Regional allocations LIVE'!$D$2:$D$1047)) *
  ('Regional allocations LIVE'!$D$2:$D$1047 &lt;= AK$4)
)</f>
        <v>39</v>
      </c>
      <c r="AK72" s="182" cm="1">
        <f t="array" ref="AK72">SUMPRODUCT(
  ('Regional allocations LIVE'!$H$2:$H$1047 = $O58) *
  (ISBLANK('Regional allocations LIVE'!$R$2:$R$1047) + ('Regional allocations LIVE'!$R$2:$R$1047 &gt;= AL$4)) *
  (ISNUMBER('Regional allocations LIVE'!$D$2:$D$1047)) *
  ('Regional allocations LIVE'!$D$2:$D$1047 &lt;= AL$4)
)</f>
        <v>39</v>
      </c>
      <c r="AL72" s="182" cm="1">
        <f t="array" ref="AL72">SUMPRODUCT(
  ('Regional allocations LIVE'!$H$2:$H$1047 = $O58) *
  (ISBLANK('Regional allocations LIVE'!$R$2:$R$1047) + ('Regional allocations LIVE'!$R$2:$R$1047 &gt;= AM$4)) *
  (ISNUMBER('Regional allocations LIVE'!$D$2:$D$1047)) *
  ('Regional allocations LIVE'!$D$2:$D$1047 &lt;= AM$4)
)</f>
        <v>38</v>
      </c>
      <c r="AM72" s="182" cm="1">
        <f t="array" ref="AM72">SUMPRODUCT(
  ('Regional allocations LIVE'!$H$2:$H$1047 = $O58) *
  (ISBLANK('Regional allocations LIVE'!$R$2:$R$1047) + ('Regional allocations LIVE'!$R$2:$R$1047 &gt;= AN$4)) *
  (ISNUMBER('Regional allocations LIVE'!$D$2:$D$1047)) *
  ('Regional allocations LIVE'!$D$2:$D$1047 &lt;= AN$4)
)</f>
        <v>38</v>
      </c>
      <c r="AN72" s="182" cm="1">
        <f t="array" ref="AN72">SUMPRODUCT(
  ('Regional allocations LIVE'!$H$2:$H$1047 = $O58) *
  (ISBLANK('Regional allocations LIVE'!$R$2:$R$1047) + ('Regional allocations LIVE'!$R$2:$R$1047 &gt;= AO$4)) *
  (ISNUMBER('Regional allocations LIVE'!$D$2:$D$1047)) *
  ('Regional allocations LIVE'!$D$2:$D$1047 &lt;= AO$4)
)</f>
        <v>38</v>
      </c>
      <c r="AO72" s="182" cm="1">
        <f t="array" ref="AO72">SUMPRODUCT(
  ('Regional allocations LIVE'!$H$2:$H$1047 = $O58) *
  (ISBLANK('Regional allocations LIVE'!$R$2:$R$1047) + ('Regional allocations LIVE'!$R$2:$R$1047 &gt;= AP$4)) *
  (ISNUMBER('Regional allocations LIVE'!$D$2:$D$1047)) *
  ('Regional allocations LIVE'!$D$2:$D$1047 &lt;= AP$4)
)</f>
        <v>38</v>
      </c>
      <c r="AP72" s="182" cm="1">
        <f t="array" ref="AP72">SUMPRODUCT(
  ('Regional allocations LIVE'!$H$2:$H$1047 = $O58) *
  (ISBLANK('Regional allocations LIVE'!$R$2:$R$1047) + ('Regional allocations LIVE'!$R$2:$R$1047 &gt;= AQ$4)) *
  (ISNUMBER('Regional allocations LIVE'!$D$2:$D$1047)) *
  ('Regional allocations LIVE'!$D$2:$D$1047 &lt;= AQ$4)
)</f>
        <v>38</v>
      </c>
      <c r="AQ72" s="182" cm="1">
        <f t="array" ref="AQ72">SUMPRODUCT(
  ('Regional allocations LIVE'!$H$2:$H$1047 = $O58) *
  (ISBLANK('Regional allocations LIVE'!$R$2:$R$1047) + ('Regional allocations LIVE'!$R$2:$R$1047 &gt;= AR$4)) *
  (ISNUMBER('Regional allocations LIVE'!$D$2:$D$1047)) *
  ('Regional allocations LIVE'!$D$2:$D$1047 &lt;= AR$4)
)</f>
        <v>38</v>
      </c>
      <c r="AR72" s="182" cm="1">
        <f t="array" ref="AR72">SUMPRODUCT(
  ('Regional allocations LIVE'!$H$2:$H$1047 = $O58) *
  (ISBLANK('Regional allocations LIVE'!$R$2:$R$1047) + ('Regional allocations LIVE'!$R$2:$R$1047 &gt;= AS$4)) *
  (ISNUMBER('Regional allocations LIVE'!$D$2:$D$1047)) *
  ('Regional allocations LIVE'!$D$2:$D$1047 &lt;= AS$4)
)</f>
        <v>38</v>
      </c>
      <c r="AS72" s="182" cm="1">
        <f t="array" ref="AS72">SUMPRODUCT(
  ('Regional allocations LIVE'!$H$2:$H$1047 = $O58) *
  (ISBLANK('Regional allocations LIVE'!$R$2:$R$1047) + ('Regional allocations LIVE'!$R$2:$R$1047 &gt;= AT$4)) *
  (ISNUMBER('Regional allocations LIVE'!$D$2:$D$1047)) *
  ('Regional allocations LIVE'!$D$2:$D$1047 &lt;= AT$4)
)</f>
        <v>38</v>
      </c>
      <c r="AT72" s="182" cm="1">
        <f t="array" ref="AT72">SUMPRODUCT(
  ('Regional allocations LIVE'!$H$2:$H$1047 = $O58) *
  (ISBLANK('Regional allocations LIVE'!$R$2:$R$1047) + ('Regional allocations LIVE'!$R$2:$R$1047 &gt;= AU$4)) *
  (ISNUMBER('Regional allocations LIVE'!$D$2:$D$1047)) *
  ('Regional allocations LIVE'!$D$2:$D$1047 &lt;= AU$4)
)</f>
        <v>38</v>
      </c>
      <c r="AU72" s="182" cm="1">
        <f t="array" ref="AU72">SUMPRODUCT(
  ('Regional allocations LIVE'!$H$2:$H$1047 = $O58) *
  (ISBLANK('Regional allocations LIVE'!$R$2:$R$1047) + ('Regional allocations LIVE'!$R$2:$R$1047 &gt;= AV$4)) *
  (ISNUMBER('Regional allocations LIVE'!$D$2:$D$1047)) *
  ('Regional allocations LIVE'!$D$2:$D$1047 &lt;= AV$4)
)</f>
        <v>38</v>
      </c>
      <c r="AV72" s="182" cm="1">
        <f t="array" ref="AV72">SUMPRODUCT(
  ('Regional allocations LIVE'!$H$2:$H$1047 = $O58) *
  (ISBLANK('Regional allocations LIVE'!$R$2:$R$1047) + ('Regional allocations LIVE'!$R$2:$R$1047 &gt;= AW$4)) *
  (ISNUMBER('Regional allocations LIVE'!$D$2:$D$1047)) *
  ('Regional allocations LIVE'!$D$2:$D$1047 &lt;= AW$4)
)</f>
        <v>38</v>
      </c>
      <c r="AW72" s="182" cm="1">
        <f t="array" ref="AW72">SUMPRODUCT(
  ('Regional allocations LIVE'!$H$2:$H$1047 = $O58) *
  (ISBLANK('Regional allocations LIVE'!$R$2:$R$1047) + ('Regional allocations LIVE'!$R$2:$R$1047 &gt;= AX$4)) *
  (ISNUMBER('Regional allocations LIVE'!$D$2:$D$1047)) *
  ('Regional allocations LIVE'!$D$2:$D$1047 &lt;= AX$4)
)</f>
        <v>38</v>
      </c>
      <c r="AX72" s="182" cm="1">
        <f t="array" ref="AX72">SUMPRODUCT(
  ('Regional allocations LIVE'!$H$2:$H$1047 = $O58) *
  (ISBLANK('Regional allocations LIVE'!$R$2:$R$1047) + ('Regional allocations LIVE'!$R$2:$R$1047 &gt;= AY$4)) *
  (ISNUMBER('Regional allocations LIVE'!$D$2:$D$1047)) *
  ('Regional allocations LIVE'!$D$2:$D$1047 &lt;= AY$4)
)</f>
        <v>38</v>
      </c>
      <c r="AY72" s="182" cm="1">
        <f t="array" ref="AY72">SUMPRODUCT(
  ('Regional allocations LIVE'!$H$2:$H$1047 = $O58) *
  (ISBLANK('Regional allocations LIVE'!$R$2:$R$1047) + ('Regional allocations LIVE'!$R$2:$R$1047 &gt;= AZ$4)) *
  (ISNUMBER('Regional allocations LIVE'!$D$2:$D$1047)) *
  ('Regional allocations LIVE'!$D$2:$D$1047 &lt;= AZ$4)
)</f>
        <v>38</v>
      </c>
      <c r="AZ72" s="182" cm="1">
        <f t="array" ref="AZ72">SUMPRODUCT(
  ('Regional allocations LIVE'!$H$2:$H$1047 = $O58) *
  (ISBLANK('Regional allocations LIVE'!$R$2:$R$1047) + ('Regional allocations LIVE'!$R$2:$R$1047 &gt;= BA$4)) *
  (ISNUMBER('Regional allocations LIVE'!$D$2:$D$1047)) *
  ('Regional allocations LIVE'!$D$2:$D$1047 &lt;= BA$4)
)</f>
        <v>38</v>
      </c>
      <c r="BA72" s="182" cm="1">
        <f t="array" ref="BA72">SUMPRODUCT(
  ('Regional allocations LIVE'!$H$2:$H$1047 = $O58) *
  (ISBLANK('Regional allocations LIVE'!$R$2:$R$1047) + ('Regional allocations LIVE'!$R$2:$R$1047 &gt;= BB$4)) *
  (ISNUMBER('Regional allocations LIVE'!$D$2:$D$1047)) *
  ('Regional allocations LIVE'!$D$2:$D$1047 &lt;= BB$4)
)</f>
        <v>38</v>
      </c>
      <c r="BB72" s="182" cm="1">
        <f t="array" ref="BB72">SUMPRODUCT(
  ('Regional allocations LIVE'!$H$2:$H$1047 = $O58) *
  (ISBLANK('Regional allocations LIVE'!$R$2:$R$1047) + ('Regional allocations LIVE'!$R$2:$R$1047 &gt;= BC$4)) *
  (ISNUMBER('Regional allocations LIVE'!$D$2:$D$1047)) *
  ('Regional allocations LIVE'!$D$2:$D$1047 &lt;= BC$4)
)</f>
        <v>38</v>
      </c>
      <c r="BC72" s="182" cm="1">
        <f t="array" ref="BC72">SUMPRODUCT(
  ('Regional allocations LIVE'!$H$2:$H$1047 = $O58) *
  (ISBLANK('Regional allocations LIVE'!$R$2:$R$1047) + ('Regional allocations LIVE'!$R$2:$R$1047 &gt;= BD$4)) *
  (ISNUMBER('Regional allocations LIVE'!$D$2:$D$1047)) *
  ('Regional allocations LIVE'!$D$2:$D$1047 &lt;= BD$4)
)</f>
        <v>38</v>
      </c>
      <c r="BD72" s="182" cm="1">
        <f t="array" ref="BD72">SUMPRODUCT(
  ('Regional allocations LIVE'!$H$2:$H$1047 = $O58) *
  (ISBLANK('Regional allocations LIVE'!$R$2:$R$1047) + ('Regional allocations LIVE'!$R$2:$R$1047 &gt;= BE$4)) *
  (ISNUMBER('Regional allocations LIVE'!$D$2:$D$1047)) *
  ('Regional allocations LIVE'!$D$2:$D$1047 &lt;= BE$4)
)</f>
        <v>38</v>
      </c>
    </row>
    <row r="73" spans="2:59" ht="12.75" x14ac:dyDescent="0.2">
      <c r="B73"/>
      <c r="C73"/>
      <c r="D73"/>
      <c r="Q73" s="49" t="s">
        <v>63</v>
      </c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82" cm="1">
        <f t="array" ref="AG73">SUMPRODUCT(
  ('Regional allocations LIVE'!$H$2:$H$1047 = $O59) *
  (ISBLANK('Regional allocations LIVE'!$R$2:$R$1047) + ('Regional allocations LIVE'!$R$2:$R$1047 &gt;= AH$4)) *
  (ISNUMBER('Regional allocations LIVE'!$D$2:$D$1047)) *
  ('Regional allocations LIVE'!$D$2:$D$1047 &lt;= AH$4)
)</f>
        <v>8</v>
      </c>
      <c r="AH73" s="182" cm="1">
        <f t="array" ref="AH73">SUMPRODUCT(
  ('Regional allocations LIVE'!$H$2:$H$1047 = $O59) *
  (ISBLANK('Regional allocations LIVE'!$R$2:$R$1047) + ('Regional allocations LIVE'!$R$2:$R$1047 &gt;= AI$4)) *
  (ISNUMBER('Regional allocations LIVE'!$D$2:$D$1047)) *
  ('Regional allocations LIVE'!$D$2:$D$1047 &lt;= AI$4)
)</f>
        <v>9</v>
      </c>
      <c r="AI73" s="182" cm="1">
        <f t="array" ref="AI73">SUMPRODUCT(
  ('Regional allocations LIVE'!$H$2:$H$1047 = $O59) *
  (ISBLANK('Regional allocations LIVE'!$R$2:$R$1047) + ('Regional allocations LIVE'!$R$2:$R$1047 &gt;= AJ$4)) *
  (ISNUMBER('Regional allocations LIVE'!$D$2:$D$1047)) *
  ('Regional allocations LIVE'!$D$2:$D$1047 &lt;= AJ$4)
)</f>
        <v>8</v>
      </c>
      <c r="AJ73" s="182" cm="1">
        <f t="array" ref="AJ73">SUMPRODUCT(
  ('Regional allocations LIVE'!$H$2:$H$1047 = $O59) *
  (ISBLANK('Regional allocations LIVE'!$R$2:$R$1047) + ('Regional allocations LIVE'!$R$2:$R$1047 &gt;= AK$4)) *
  (ISNUMBER('Regional allocations LIVE'!$D$2:$D$1047)) *
  ('Regional allocations LIVE'!$D$2:$D$1047 &lt;= AK$4)
)</f>
        <v>8</v>
      </c>
      <c r="AK73" s="182" cm="1">
        <f t="array" ref="AK73">SUMPRODUCT(
  ('Regional allocations LIVE'!$H$2:$H$1047 = $O59) *
  (ISBLANK('Regional allocations LIVE'!$R$2:$R$1047) + ('Regional allocations LIVE'!$R$2:$R$1047 &gt;= AL$4)) *
  (ISNUMBER('Regional allocations LIVE'!$D$2:$D$1047)) *
  ('Regional allocations LIVE'!$D$2:$D$1047 &lt;= AL$4)
)</f>
        <v>8</v>
      </c>
      <c r="AL73" s="182" cm="1">
        <f t="array" ref="AL73">SUMPRODUCT(
  ('Regional allocations LIVE'!$H$2:$H$1047 = $O59) *
  (ISBLANK('Regional allocations LIVE'!$R$2:$R$1047) + ('Regional allocations LIVE'!$R$2:$R$1047 &gt;= AM$4)) *
  (ISNUMBER('Regional allocations LIVE'!$D$2:$D$1047)) *
  ('Regional allocations LIVE'!$D$2:$D$1047 &lt;= AM$4)
)</f>
        <v>8</v>
      </c>
      <c r="AM73" s="182" cm="1">
        <f t="array" ref="AM73">SUMPRODUCT(
  ('Regional allocations LIVE'!$H$2:$H$1047 = $O59) *
  (ISBLANK('Regional allocations LIVE'!$R$2:$R$1047) + ('Regional allocations LIVE'!$R$2:$R$1047 &gt;= AN$4)) *
  (ISNUMBER('Regional allocations LIVE'!$D$2:$D$1047)) *
  ('Regional allocations LIVE'!$D$2:$D$1047 &lt;= AN$4)
)</f>
        <v>8</v>
      </c>
      <c r="AN73" s="182" cm="1">
        <f t="array" ref="AN73">SUMPRODUCT(
  ('Regional allocations LIVE'!$H$2:$H$1047 = $O59) *
  (ISBLANK('Regional allocations LIVE'!$R$2:$R$1047) + ('Regional allocations LIVE'!$R$2:$R$1047 &gt;= AO$4)) *
  (ISNUMBER('Regional allocations LIVE'!$D$2:$D$1047)) *
  ('Regional allocations LIVE'!$D$2:$D$1047 &lt;= AO$4)
)</f>
        <v>8</v>
      </c>
      <c r="AO73" s="182" cm="1">
        <f t="array" ref="AO73">SUMPRODUCT(
  ('Regional allocations LIVE'!$H$2:$H$1047 = $O59) *
  (ISBLANK('Regional allocations LIVE'!$R$2:$R$1047) + ('Regional allocations LIVE'!$R$2:$R$1047 &gt;= AP$4)) *
  (ISNUMBER('Regional allocations LIVE'!$D$2:$D$1047)) *
  ('Regional allocations LIVE'!$D$2:$D$1047 &lt;= AP$4)
)</f>
        <v>8</v>
      </c>
      <c r="AP73" s="182" cm="1">
        <f t="array" ref="AP73">SUMPRODUCT(
  ('Regional allocations LIVE'!$H$2:$H$1047 = $O59) *
  (ISBLANK('Regional allocations LIVE'!$R$2:$R$1047) + ('Regional allocations LIVE'!$R$2:$R$1047 &gt;= AQ$4)) *
  (ISNUMBER('Regional allocations LIVE'!$D$2:$D$1047)) *
  ('Regional allocations LIVE'!$D$2:$D$1047 &lt;= AQ$4)
)</f>
        <v>8</v>
      </c>
      <c r="AQ73" s="182" cm="1">
        <f t="array" ref="AQ73">SUMPRODUCT(
  ('Regional allocations LIVE'!$H$2:$H$1047 = $O59) *
  (ISBLANK('Regional allocations LIVE'!$R$2:$R$1047) + ('Regional allocations LIVE'!$R$2:$R$1047 &gt;= AR$4)) *
  (ISNUMBER('Regional allocations LIVE'!$D$2:$D$1047)) *
  ('Regional allocations LIVE'!$D$2:$D$1047 &lt;= AR$4)
)</f>
        <v>8</v>
      </c>
      <c r="AR73" s="182" cm="1">
        <f t="array" ref="AR73">SUMPRODUCT(
  ('Regional allocations LIVE'!$H$2:$H$1047 = $O59) *
  (ISBLANK('Regional allocations LIVE'!$R$2:$R$1047) + ('Regional allocations LIVE'!$R$2:$R$1047 &gt;= AS$4)) *
  (ISNUMBER('Regional allocations LIVE'!$D$2:$D$1047)) *
  ('Regional allocations LIVE'!$D$2:$D$1047 &lt;= AS$4)
)</f>
        <v>8</v>
      </c>
      <c r="AS73" s="182" cm="1">
        <f t="array" ref="AS73">SUMPRODUCT(
  ('Regional allocations LIVE'!$H$2:$H$1047 = $O59) *
  (ISBLANK('Regional allocations LIVE'!$R$2:$R$1047) + ('Regional allocations LIVE'!$R$2:$R$1047 &gt;= AT$4)) *
  (ISNUMBER('Regional allocations LIVE'!$D$2:$D$1047)) *
  ('Regional allocations LIVE'!$D$2:$D$1047 &lt;= AT$4)
)</f>
        <v>8</v>
      </c>
      <c r="AT73" s="182" cm="1">
        <f t="array" ref="AT73">SUMPRODUCT(
  ('Regional allocations LIVE'!$H$2:$H$1047 = $O59) *
  (ISBLANK('Regional allocations LIVE'!$R$2:$R$1047) + ('Regional allocations LIVE'!$R$2:$R$1047 &gt;= AU$4)) *
  (ISNUMBER('Regional allocations LIVE'!$D$2:$D$1047)) *
  ('Regional allocations LIVE'!$D$2:$D$1047 &lt;= AU$4)
)</f>
        <v>8</v>
      </c>
      <c r="AU73" s="182" cm="1">
        <f t="array" ref="AU73">SUMPRODUCT(
  ('Regional allocations LIVE'!$H$2:$H$1047 = $O59) *
  (ISBLANK('Regional allocations LIVE'!$R$2:$R$1047) + ('Regional allocations LIVE'!$R$2:$R$1047 &gt;= AV$4)) *
  (ISNUMBER('Regional allocations LIVE'!$D$2:$D$1047)) *
  ('Regional allocations LIVE'!$D$2:$D$1047 &lt;= AV$4)
)</f>
        <v>8</v>
      </c>
      <c r="AV73" s="182" cm="1">
        <f t="array" ref="AV73">SUMPRODUCT(
  ('Regional allocations LIVE'!$H$2:$H$1047 = $O59) *
  (ISBLANK('Regional allocations LIVE'!$R$2:$R$1047) + ('Regional allocations LIVE'!$R$2:$R$1047 &gt;= AW$4)) *
  (ISNUMBER('Regional allocations LIVE'!$D$2:$D$1047)) *
  ('Regional allocations LIVE'!$D$2:$D$1047 &lt;= AW$4)
)</f>
        <v>8</v>
      </c>
      <c r="AW73" s="182" cm="1">
        <f t="array" ref="AW73">SUMPRODUCT(
  ('Regional allocations LIVE'!$H$2:$H$1047 = $O59) *
  (ISBLANK('Regional allocations LIVE'!$R$2:$R$1047) + ('Regional allocations LIVE'!$R$2:$R$1047 &gt;= AX$4)) *
  (ISNUMBER('Regional allocations LIVE'!$D$2:$D$1047)) *
  ('Regional allocations LIVE'!$D$2:$D$1047 &lt;= AX$4)
)</f>
        <v>8</v>
      </c>
      <c r="AX73" s="182" cm="1">
        <f t="array" ref="AX73">SUMPRODUCT(
  ('Regional allocations LIVE'!$H$2:$H$1047 = $O59) *
  (ISBLANK('Regional allocations LIVE'!$R$2:$R$1047) + ('Regional allocations LIVE'!$R$2:$R$1047 &gt;= AY$4)) *
  (ISNUMBER('Regional allocations LIVE'!$D$2:$D$1047)) *
  ('Regional allocations LIVE'!$D$2:$D$1047 &lt;= AY$4)
)</f>
        <v>8</v>
      </c>
      <c r="AY73" s="182" cm="1">
        <f t="array" ref="AY73">SUMPRODUCT(
  ('Regional allocations LIVE'!$H$2:$H$1047 = $O59) *
  (ISBLANK('Regional allocations LIVE'!$R$2:$R$1047) + ('Regional allocations LIVE'!$R$2:$R$1047 &gt;= AZ$4)) *
  (ISNUMBER('Regional allocations LIVE'!$D$2:$D$1047)) *
  ('Regional allocations LIVE'!$D$2:$D$1047 &lt;= AZ$4)
)</f>
        <v>8</v>
      </c>
      <c r="AZ73" s="182" cm="1">
        <f t="array" ref="AZ73">SUMPRODUCT(
  ('Regional allocations LIVE'!$H$2:$H$1047 = $O59) *
  (ISBLANK('Regional allocations LIVE'!$R$2:$R$1047) + ('Regional allocations LIVE'!$R$2:$R$1047 &gt;= BA$4)) *
  (ISNUMBER('Regional allocations LIVE'!$D$2:$D$1047)) *
  ('Regional allocations LIVE'!$D$2:$D$1047 &lt;= BA$4)
)</f>
        <v>8</v>
      </c>
      <c r="BA73" s="182" cm="1">
        <f t="array" ref="BA73">SUMPRODUCT(
  ('Regional allocations LIVE'!$H$2:$H$1047 = $O59) *
  (ISBLANK('Regional allocations LIVE'!$R$2:$R$1047) + ('Regional allocations LIVE'!$R$2:$R$1047 &gt;= BB$4)) *
  (ISNUMBER('Regional allocations LIVE'!$D$2:$D$1047)) *
  ('Regional allocations LIVE'!$D$2:$D$1047 &lt;= BB$4)
)</f>
        <v>8</v>
      </c>
      <c r="BB73" s="182" cm="1">
        <f t="array" ref="BB73">SUMPRODUCT(
  ('Regional allocations LIVE'!$H$2:$H$1047 = $O59) *
  (ISBLANK('Regional allocations LIVE'!$R$2:$R$1047) + ('Regional allocations LIVE'!$R$2:$R$1047 &gt;= BC$4)) *
  (ISNUMBER('Regional allocations LIVE'!$D$2:$D$1047)) *
  ('Regional allocations LIVE'!$D$2:$D$1047 &lt;= BC$4)
)</f>
        <v>8</v>
      </c>
      <c r="BC73" s="182" cm="1">
        <f t="array" ref="BC73">SUMPRODUCT(
  ('Regional allocations LIVE'!$H$2:$H$1047 = $O59) *
  (ISBLANK('Regional allocations LIVE'!$R$2:$R$1047) + ('Regional allocations LIVE'!$R$2:$R$1047 &gt;= BD$4)) *
  (ISNUMBER('Regional allocations LIVE'!$D$2:$D$1047)) *
  ('Regional allocations LIVE'!$D$2:$D$1047 &lt;= BD$4)
)</f>
        <v>8</v>
      </c>
      <c r="BD73" s="182" cm="1">
        <f t="array" ref="BD73">SUMPRODUCT(
  ('Regional allocations LIVE'!$H$2:$H$1047 = $O59) *
  (ISBLANK('Regional allocations LIVE'!$R$2:$R$1047) + ('Regional allocations LIVE'!$R$2:$R$1047 &gt;= BE$4)) *
  (ISNUMBER('Regional allocations LIVE'!$D$2:$D$1047)) *
  ('Regional allocations LIVE'!$D$2:$D$1047 &lt;= BE$4)
)</f>
        <v>8</v>
      </c>
    </row>
    <row r="74" spans="2:59" ht="12.75" x14ac:dyDescent="0.2">
      <c r="B74"/>
      <c r="C74"/>
      <c r="D74"/>
      <c r="Q74" s="118" t="s">
        <v>98</v>
      </c>
      <c r="R74" s="242">
        <f>SUM(R66:R73)</f>
        <v>0</v>
      </c>
      <c r="S74" s="242">
        <f>SUM(S66:S73)</f>
        <v>0</v>
      </c>
      <c r="T74" s="243">
        <f>SUM(T66:T72)</f>
        <v>0</v>
      </c>
      <c r="U74" s="243">
        <f>SUM(U66:U72)</f>
        <v>0</v>
      </c>
      <c r="V74" s="243">
        <f>SUM(V66:V72)</f>
        <v>0</v>
      </c>
      <c r="W74" s="243">
        <f>SUM(W66:W72)</f>
        <v>0</v>
      </c>
      <c r="X74" s="242">
        <f>SUM(X66:X73)</f>
        <v>0</v>
      </c>
      <c r="Y74" s="243">
        <f>SUM(Y66:Y72)</f>
        <v>0</v>
      </c>
      <c r="Z74" s="243">
        <f>SUM(Z66:Z72)</f>
        <v>0</v>
      </c>
      <c r="AA74" s="243">
        <f>SUM(AA66:AA72)</f>
        <v>0</v>
      </c>
      <c r="AB74" s="243">
        <f>SUM(AB66:AB72)</f>
        <v>0</v>
      </c>
      <c r="AC74" s="243">
        <f>SUM(AC66:AC72)</f>
        <v>0</v>
      </c>
      <c r="AD74" s="242">
        <f>SUM(AD66:AD73)</f>
        <v>0</v>
      </c>
      <c r="AE74" s="242">
        <f>SUM(AE66:AE73)</f>
        <v>0</v>
      </c>
      <c r="AF74" s="242">
        <f>SUM(AF66:AF73)</f>
        <v>0</v>
      </c>
      <c r="AG74" s="242">
        <f>SUM(AG66:AG73)</f>
        <v>161</v>
      </c>
      <c r="AH74" s="242">
        <f t="shared" ref="AH74:BC74" si="19">SUM(AH66:AH73)</f>
        <v>163</v>
      </c>
      <c r="AI74" s="242">
        <f t="shared" si="19"/>
        <v>165</v>
      </c>
      <c r="AJ74" s="242">
        <f t="shared" si="19"/>
        <v>170</v>
      </c>
      <c r="AK74" s="242">
        <f t="shared" si="19"/>
        <v>170</v>
      </c>
      <c r="AL74" s="242">
        <f t="shared" si="19"/>
        <v>170</v>
      </c>
      <c r="AM74" s="242">
        <f t="shared" si="19"/>
        <v>170</v>
      </c>
      <c r="AN74" s="242">
        <f t="shared" si="19"/>
        <v>170</v>
      </c>
      <c r="AO74" s="242">
        <f t="shared" si="19"/>
        <v>170</v>
      </c>
      <c r="AP74" s="242">
        <f t="shared" si="19"/>
        <v>170</v>
      </c>
      <c r="AQ74" s="242">
        <f t="shared" si="19"/>
        <v>170</v>
      </c>
      <c r="AR74" s="242">
        <f t="shared" si="19"/>
        <v>170</v>
      </c>
      <c r="AS74" s="242">
        <f t="shared" si="19"/>
        <v>170</v>
      </c>
      <c r="AT74" s="242">
        <f t="shared" si="19"/>
        <v>170</v>
      </c>
      <c r="AU74" s="242">
        <f t="shared" si="19"/>
        <v>170</v>
      </c>
      <c r="AV74" s="242">
        <f t="shared" si="19"/>
        <v>170</v>
      </c>
      <c r="AW74" s="242">
        <f t="shared" si="19"/>
        <v>170</v>
      </c>
      <c r="AX74" s="242">
        <f t="shared" si="19"/>
        <v>170</v>
      </c>
      <c r="AY74" s="242">
        <f t="shared" si="19"/>
        <v>170</v>
      </c>
      <c r="AZ74" s="242">
        <f t="shared" si="19"/>
        <v>170</v>
      </c>
      <c r="BA74" s="242">
        <f t="shared" si="19"/>
        <v>170</v>
      </c>
      <c r="BB74" s="242">
        <f t="shared" si="19"/>
        <v>170</v>
      </c>
      <c r="BC74" s="242">
        <f t="shared" si="19"/>
        <v>170</v>
      </c>
    </row>
    <row r="88" spans="17:34" ht="15.75" customHeight="1" x14ac:dyDescent="0.25">
      <c r="Q88" s="217" t="s">
        <v>109</v>
      </c>
    </row>
    <row r="89" spans="17:34" ht="15.75" customHeight="1" x14ac:dyDescent="0.2">
      <c r="Q89" s="218" t="s">
        <v>4</v>
      </c>
      <c r="R89" s="219" t="s">
        <v>96</v>
      </c>
      <c r="S89" s="219" t="s">
        <v>5</v>
      </c>
      <c r="T89" s="219" t="s">
        <v>6</v>
      </c>
      <c r="U89" s="219" t="s">
        <v>7</v>
      </c>
      <c r="V89" s="219" t="s">
        <v>8</v>
      </c>
      <c r="W89" s="219" t="s">
        <v>9</v>
      </c>
      <c r="X89" s="219" t="s">
        <v>10</v>
      </c>
      <c r="Y89" s="219" t="s">
        <v>11</v>
      </c>
      <c r="Z89" s="219" t="s">
        <v>12</v>
      </c>
      <c r="AA89" s="219" t="s">
        <v>13</v>
      </c>
      <c r="AB89" s="219" t="s">
        <v>14</v>
      </c>
      <c r="AC89" s="219" t="s">
        <v>15</v>
      </c>
      <c r="AD89" s="219" t="s">
        <v>16</v>
      </c>
      <c r="AE89" s="220" t="s">
        <v>110</v>
      </c>
      <c r="AF89" s="221" t="s">
        <v>18</v>
      </c>
      <c r="AG89" s="221" t="s">
        <v>111</v>
      </c>
      <c r="AH89" s="221" t="s">
        <v>112</v>
      </c>
    </row>
    <row r="90" spans="17:34" ht="15.75" customHeight="1" x14ac:dyDescent="0.2">
      <c r="Q90" s="222" t="s">
        <v>46</v>
      </c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224">
        <f t="shared" ref="AB90:AE96" si="20">SUM(W6:AB6) / AVERAGE(W40:AB40)</f>
        <v>0.12185215272136475</v>
      </c>
      <c r="AC90" s="224">
        <f t="shared" si="20"/>
        <v>7.3111291632818848E-2</v>
      </c>
      <c r="AD90" s="224">
        <f t="shared" si="20"/>
        <v>7.2815533980582534E-2</v>
      </c>
      <c r="AE90" s="224">
        <f t="shared" si="20"/>
        <v>7.2522159548751006E-2</v>
      </c>
      <c r="AF90" s="255" t="e">
        <f>SUM(Table14[[30/01/2025]:[30/06/2025]]) / AVERAGE(AA39:AF39)</f>
        <v>#DIV/0!</v>
      </c>
      <c r="AG90" s="119"/>
      <c r="AH90" s="184"/>
    </row>
    <row r="91" spans="17:34" ht="15.75" customHeight="1" x14ac:dyDescent="0.2">
      <c r="Q91" s="222" t="s">
        <v>55</v>
      </c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224">
        <f t="shared" si="20"/>
        <v>0</v>
      </c>
      <c r="AC91" s="224">
        <f t="shared" si="20"/>
        <v>0</v>
      </c>
      <c r="AD91" s="224">
        <f t="shared" si="20"/>
        <v>0</v>
      </c>
      <c r="AE91" s="224">
        <f t="shared" si="20"/>
        <v>0</v>
      </c>
      <c r="AF91" s="255">
        <f>SUM(Table14[[30/01/2025]:[30/06/2025]]) / AVERAGE(AA40:AF40)</f>
        <v>0.45930701047542305</v>
      </c>
      <c r="AG91" s="119"/>
      <c r="AH91" s="184"/>
    </row>
    <row r="92" spans="17:34" ht="15.75" customHeight="1" x14ac:dyDescent="0.2">
      <c r="Q92" s="222" t="s">
        <v>56</v>
      </c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224">
        <f t="shared" si="20"/>
        <v>6.0606060606060608E-2</v>
      </c>
      <c r="AC92" s="224">
        <f t="shared" si="20"/>
        <v>0.12244897959183675</v>
      </c>
      <c r="AD92" s="224">
        <f t="shared" si="20"/>
        <v>0.12371134020618556</v>
      </c>
      <c r="AE92" s="224">
        <f t="shared" si="20"/>
        <v>0.125</v>
      </c>
      <c r="AF92" s="255">
        <f>SUM(Table14[[30/01/2025]:[30/06/2025]]) / AVERAGE(AA41:AF41)</f>
        <v>6.333333333333333</v>
      </c>
      <c r="AG92" s="119"/>
      <c r="AH92" s="184"/>
    </row>
    <row r="93" spans="17:34" ht="15.75" customHeight="1" x14ac:dyDescent="0.2">
      <c r="Q93" s="222" t="s">
        <v>57</v>
      </c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224">
        <f t="shared" si="20"/>
        <v>0.10645848119233499</v>
      </c>
      <c r="AC93" s="224">
        <f t="shared" si="20"/>
        <v>0.10683760683760683</v>
      </c>
      <c r="AD93" s="224">
        <f t="shared" si="20"/>
        <v>0.10721944245889921</v>
      </c>
      <c r="AE93" s="224">
        <f t="shared" si="20"/>
        <v>0.15228426395939085</v>
      </c>
      <c r="AF93" s="255">
        <f>SUM(Table14[[30/01/2025]:[30/06/2025]]) / AVERAGE(AA42:AF42)</f>
        <v>1.1875</v>
      </c>
      <c r="AG93" s="119"/>
      <c r="AH93" s="184"/>
    </row>
    <row r="94" spans="17:34" ht="15.75" customHeight="1" x14ac:dyDescent="0.2">
      <c r="Q94" s="222" t="s">
        <v>59</v>
      </c>
      <c r="R94" s="155"/>
      <c r="S94" s="155"/>
      <c r="T94" s="155"/>
      <c r="U94" s="155"/>
      <c r="V94" s="155"/>
      <c r="W94" s="155"/>
      <c r="X94" s="155"/>
      <c r="Y94" s="155"/>
      <c r="Z94" s="155"/>
      <c r="AA94" s="155"/>
      <c r="AB94" s="224">
        <f t="shared" si="20"/>
        <v>0.14814814814814814</v>
      </c>
      <c r="AC94" s="224">
        <f t="shared" si="20"/>
        <v>0.15062761506276151</v>
      </c>
      <c r="AD94" s="224">
        <f t="shared" si="20"/>
        <v>0.15189873417721519</v>
      </c>
      <c r="AE94" s="224">
        <f t="shared" si="20"/>
        <v>0.15319148936170213</v>
      </c>
      <c r="AF94" s="255">
        <f>SUM(Table14[[30/01/2025]:[30/06/2025]]) / AVERAGE(AA43:AF43)</f>
        <v>0.42097488921713444</v>
      </c>
      <c r="AG94" s="119"/>
      <c r="AH94" s="184"/>
    </row>
    <row r="95" spans="17:34" ht="15.75" customHeight="1" x14ac:dyDescent="0.2">
      <c r="Q95" s="222" t="s">
        <v>60</v>
      </c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224" t="e">
        <f t="shared" si="20"/>
        <v>#DIV/0!</v>
      </c>
      <c r="AC95" s="224" t="e">
        <f t="shared" si="20"/>
        <v>#DIV/0!</v>
      </c>
      <c r="AD95" s="224" t="e">
        <f t="shared" si="20"/>
        <v>#DIV/0!</v>
      </c>
      <c r="AE95" s="224" t="e">
        <f t="shared" si="20"/>
        <v>#DIV/0!</v>
      </c>
      <c r="AF95" s="255">
        <f>SUM(Table14[[30/01/2025]:[30/06/2025]]) / AVERAGE(AA44:AF44)</f>
        <v>0.97021276595744688</v>
      </c>
      <c r="AG95" s="119"/>
      <c r="AH95" s="184"/>
    </row>
    <row r="96" spans="17:34" ht="15.75" customHeight="1" x14ac:dyDescent="0.2">
      <c r="Q96" s="222" t="s">
        <v>61</v>
      </c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224">
        <f t="shared" si="20"/>
        <v>0</v>
      </c>
      <c r="AC96" s="224">
        <f t="shared" si="20"/>
        <v>0</v>
      </c>
      <c r="AD96" s="224">
        <f t="shared" si="20"/>
        <v>2.4390243902439025E-2</v>
      </c>
      <c r="AE96" s="224">
        <f t="shared" si="20"/>
        <v>7.3770491803278687E-2</v>
      </c>
      <c r="AF96" s="255" t="e">
        <f>SUM(Table14[[30/01/2025]:[30/06/2025]]) / AVERAGE(AA45:AF45)</f>
        <v>#DIV/0!</v>
      </c>
      <c r="AG96" s="119"/>
      <c r="AH96" s="184"/>
    </row>
    <row r="97" spans="17:34" ht="15.75" customHeight="1" x14ac:dyDescent="0.2">
      <c r="Q97" s="222" t="s">
        <v>62</v>
      </c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224" t="e">
        <f>SUM(W13:AB13) / AVERAGE(#REF!)</f>
        <v>#REF!</v>
      </c>
      <c r="AC97" s="224" t="e">
        <f>SUM(X13:AC13) / AVERAGE(#REF!)</f>
        <v>#REF!</v>
      </c>
      <c r="AD97" s="224" t="e">
        <f>SUM(Y13:AD13) / AVERAGE(#REF!)</f>
        <v>#REF!</v>
      </c>
      <c r="AE97" s="224" t="e">
        <f>SUM(Z13:AE13) / AVERAGE(#REF!)</f>
        <v>#REF!</v>
      </c>
      <c r="AF97" s="255">
        <f>SUM(Table14[[30/01/2025]:[30/06/2025]]) / AVERAGE(AA46:AF46)</f>
        <v>0.47107438016528924</v>
      </c>
      <c r="AG97" s="119"/>
      <c r="AH97" s="184"/>
    </row>
    <row r="98" spans="17:34" ht="15.75" customHeight="1" x14ac:dyDescent="0.2">
      <c r="Q98" s="223" t="s">
        <v>65</v>
      </c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256">
        <f>SUM(Table14[[30/01/2025]:[30/06/2025]]) / AVERAGE(AA47:AF47)</f>
        <v>5.4285714285714288</v>
      </c>
      <c r="AG98" s="119"/>
      <c r="AH98" s="184"/>
    </row>
    <row r="99" spans="17:34" ht="15.75" customHeight="1" x14ac:dyDescent="0.2">
      <c r="Q99" s="223" t="s">
        <v>113</v>
      </c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225">
        <f>SUM(Table14[[31/10/2024]:[31/03/2025]]) / AVERAGE(W48:AB48)</f>
        <v>8.8452088452088448E-2</v>
      </c>
      <c r="AC99" s="225">
        <f>SUM(Table14[[30/11/2024]:[30/04/2025]]) / AVERAGE(X48:AC48)</f>
        <v>8.2962962962962961E-2</v>
      </c>
      <c r="AD99" s="225">
        <f>SUM(Table14[[31/12/2024]:[31/05/2025]]) / AVERAGE(Y48:AD48)</f>
        <v>8.9241447694595924E-2</v>
      </c>
      <c r="AE99" s="225">
        <f>SUM(Table14[[30/01/2025]:[30/06/2025]]) / AVERAGE(Z48:AE48)</f>
        <v>0.11365902293120639</v>
      </c>
      <c r="AF99" s="257">
        <f>SUM(Table14[[30/01/2025]:[30/06/2025]]) / AVERAGE(AA48:AF48)</f>
        <v>0.11405702851425713</v>
      </c>
      <c r="AG99" s="253">
        <f>SUM(Table14[[30/01/2025]:[30/06/2025]]) / AVERAGE(AB48:AG48)</f>
        <v>0.11394302848575712</v>
      </c>
      <c r="AH99" s="253">
        <f>SUM(Table14[[30/01/2025]:[30/06/2025]]) / AVERAGE(AC48:AH48)</f>
        <v>0.11367035596769369</v>
      </c>
    </row>
    <row r="102" spans="17:34" ht="15.75" customHeight="1" x14ac:dyDescent="0.2">
      <c r="AD102" s="119"/>
    </row>
    <row r="105" spans="17:34" ht="15.75" customHeight="1" x14ac:dyDescent="0.2">
      <c r="AD105" s="226"/>
    </row>
  </sheetData>
  <phoneticPr fontId="42" type="noConversion"/>
  <conditionalFormatting sqref="I8:J14 C8:D16 I15:K16 C20:D25">
    <cfRule type="cellIs" dxfId="7" priority="5" operator="lessThan">
      <formula>0</formula>
    </cfRule>
  </conditionalFormatting>
  <conditionalFormatting sqref="M8:M16">
    <cfRule type="cellIs" dxfId="6" priority="1" operator="lessThan">
      <formula>0</formula>
    </cfRule>
  </conditionalFormatting>
  <pageMargins left="0.7" right="0.7" top="0.75" bottom="0.75" header="0.3" footer="0.3"/>
  <pageSetup paperSize="9" orientation="portrait" verticalDpi="0" r:id="rId2"/>
  <headerFooter>
    <oddHeader>&amp;C&amp;"Calibri"&amp;10&amp;K000000 [PROTECTED_INTERNAL]&amp;1#_x000D_</oddHeader>
  </headerFooter>
  <drawing r:id="rId3"/>
  <legacyDrawing r:id="rId4"/>
  <tableParts count="9"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622B-68AD-477C-A146-A27D92CE6F11}">
  <dimension ref="A1:C17"/>
  <sheetViews>
    <sheetView workbookViewId="0"/>
  </sheetViews>
  <sheetFormatPr defaultRowHeight="12.75" x14ac:dyDescent="0.2"/>
  <cols>
    <col min="1" max="1" width="26.28515625" bestFit="1" customWidth="1"/>
    <col min="2" max="2" width="20.85546875" bestFit="1" customWidth="1"/>
  </cols>
  <sheetData>
    <row r="1" spans="1:3" x14ac:dyDescent="0.2">
      <c r="A1" s="158" t="s">
        <v>83</v>
      </c>
      <c r="B1" t="s">
        <v>84</v>
      </c>
    </row>
    <row r="2" spans="1:3" x14ac:dyDescent="0.2">
      <c r="A2" s="158" t="s">
        <v>114</v>
      </c>
      <c r="B2" t="s">
        <v>84</v>
      </c>
    </row>
    <row r="3" spans="1:3" x14ac:dyDescent="0.2">
      <c r="A3" s="158" t="s">
        <v>115</v>
      </c>
      <c r="B3" t="s">
        <v>116</v>
      </c>
    </row>
    <row r="4" spans="1:3" x14ac:dyDescent="0.2">
      <c r="A4" s="158" t="s">
        <v>117</v>
      </c>
      <c r="B4" t="s">
        <v>116</v>
      </c>
    </row>
    <row r="6" spans="1:3" x14ac:dyDescent="0.2">
      <c r="A6" s="158" t="s">
        <v>90</v>
      </c>
      <c r="B6" t="s">
        <v>87</v>
      </c>
    </row>
    <row r="7" spans="1:3" x14ac:dyDescent="0.2">
      <c r="A7" s="159" t="s">
        <v>118</v>
      </c>
      <c r="B7">
        <v>4</v>
      </c>
      <c r="C7" s="161">
        <f>GETPIVOTDATA("Employee ID",$A$6,"Vertical","Business Analyst")/$B$17</f>
        <v>3.4482758620689655E-2</v>
      </c>
    </row>
    <row r="8" spans="1:3" x14ac:dyDescent="0.2">
      <c r="A8" s="159" t="s">
        <v>119</v>
      </c>
      <c r="B8">
        <v>4</v>
      </c>
      <c r="C8" s="161">
        <f>GETPIVOTDATA("Employee ID",$A$6,"Vertical","Consultant")/$B$17</f>
        <v>3.4482758620689655E-2</v>
      </c>
    </row>
    <row r="9" spans="1:3" x14ac:dyDescent="0.2">
      <c r="A9" s="159" t="s">
        <v>120</v>
      </c>
      <c r="B9">
        <v>62</v>
      </c>
      <c r="C9" s="161">
        <f>GETPIVOTDATA("Employee ID",$A$6,"Vertical","Development")/$B$17</f>
        <v>0.53448275862068961</v>
      </c>
    </row>
    <row r="10" spans="1:3" hidden="1" x14ac:dyDescent="0.2">
      <c r="A10" s="159" t="s">
        <v>121</v>
      </c>
      <c r="B10">
        <v>3</v>
      </c>
      <c r="C10" s="161">
        <f t="shared" ref="C10:C16" si="0">GETPIVOTDATA("Employee ID",$A$6,"Vertical","Business Analyst")/$B$17</f>
        <v>3.4482758620689655E-2</v>
      </c>
    </row>
    <row r="11" spans="1:3" hidden="1" x14ac:dyDescent="0.2">
      <c r="A11" s="159" t="s">
        <v>55</v>
      </c>
      <c r="B11">
        <v>1</v>
      </c>
      <c r="C11" s="161">
        <f t="shared" si="0"/>
        <v>3.4482758620689655E-2</v>
      </c>
    </row>
    <row r="12" spans="1:3" x14ac:dyDescent="0.2">
      <c r="A12" s="159" t="s">
        <v>122</v>
      </c>
      <c r="B12">
        <v>27</v>
      </c>
      <c r="C12" s="161">
        <f>GETPIVOTDATA("Employee ID",$A$6,"Vertical","Testing")/$B$17</f>
        <v>0.23275862068965517</v>
      </c>
    </row>
    <row r="13" spans="1:3" hidden="1" x14ac:dyDescent="0.2">
      <c r="A13" s="159" t="s">
        <v>123</v>
      </c>
      <c r="B13">
        <v>1</v>
      </c>
      <c r="C13" s="161">
        <f t="shared" si="0"/>
        <v>3.4482758620689655E-2</v>
      </c>
    </row>
    <row r="14" spans="1:3" hidden="1" x14ac:dyDescent="0.2">
      <c r="A14" s="159" t="s">
        <v>84</v>
      </c>
      <c r="C14" s="161">
        <f t="shared" si="0"/>
        <v>3.4482758620689655E-2</v>
      </c>
    </row>
    <row r="15" spans="1:3" x14ac:dyDescent="0.2">
      <c r="A15" s="159" t="s">
        <v>124</v>
      </c>
      <c r="B15">
        <v>19</v>
      </c>
      <c r="C15" s="161">
        <f>GETPIVOTDATA("Employee ID",$A$6,"Vertical","Delivery Management")/$B$17</f>
        <v>0.16379310344827586</v>
      </c>
    </row>
    <row r="16" spans="1:3" hidden="1" x14ac:dyDescent="0.2">
      <c r="A16" s="159" t="s">
        <v>105</v>
      </c>
      <c r="B16">
        <v>121</v>
      </c>
      <c r="C16" s="161">
        <f t="shared" si="0"/>
        <v>3.4482758620689655E-2</v>
      </c>
    </row>
    <row r="17" spans="1:3" x14ac:dyDescent="0.2">
      <c r="A17" s="159" t="s">
        <v>113</v>
      </c>
      <c r="B17">
        <f>GETPIVOTDATA("Employee ID",$A$6,"Vertical","Business Analyst")+GETPIVOTDATA("Employee ID",$A$6,"Vertical","Consultant")+GETPIVOTDATA("Employee ID",$A$6,"Vertical","Development")+GETPIVOTDATA("Employee ID",$A$6,"Vertical","Testing")+GETPIVOTDATA("Employee ID",$A$6,"Vertical","Delivery Management")</f>
        <v>116</v>
      </c>
      <c r="C17" s="252">
        <f>C7+C8+C9+C12+C15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D865-0952-4EA1-8AA6-9806ADD5F99D}">
  <sheetPr filterMode="1"/>
  <dimension ref="A1:Z291"/>
  <sheetViews>
    <sheetView tabSelected="1" zoomScale="91" workbookViewId="0">
      <selection activeCell="E264" sqref="E264"/>
    </sheetView>
  </sheetViews>
  <sheetFormatPr defaultColWidth="9.140625" defaultRowHeight="12.75" outlineLevelCol="2" x14ac:dyDescent="0.2"/>
  <cols>
    <col min="1" max="1" width="15.140625" style="262" bestFit="1" customWidth="1"/>
    <col min="2" max="2" width="15.7109375" style="2" customWidth="1"/>
    <col min="3" max="3" width="15.85546875" style="2" customWidth="1"/>
    <col min="4" max="4" width="13.42578125" style="2" customWidth="1"/>
    <col min="5" max="5" width="40.42578125" style="2" customWidth="1"/>
    <col min="6" max="6" width="18.5703125" style="2" customWidth="1"/>
    <col min="7" max="7" width="24.140625" style="2" customWidth="1"/>
    <col min="8" max="8" width="20.5703125" style="2" customWidth="1"/>
    <col min="9" max="9" width="18.42578125" style="38" customWidth="1"/>
    <col min="10" max="10" width="21.140625" style="2" customWidth="1"/>
    <col min="11" max="11" width="21.5703125" style="2" hidden="1" customWidth="1" outlineLevel="2"/>
    <col min="12" max="12" width="12.28515625" style="2" hidden="1" customWidth="1" outlineLevel="2"/>
    <col min="13" max="13" width="16.140625" style="2" hidden="1" customWidth="1" outlineLevel="2"/>
    <col min="14" max="14" width="24.28515625" style="2" hidden="1" customWidth="1" outlineLevel="1" collapsed="1"/>
    <col min="15" max="15" width="24.28515625" style="2" hidden="1" customWidth="1" outlineLevel="1"/>
    <col min="16" max="16" width="16.42578125" style="2" hidden="1" customWidth="1" outlineLevel="1"/>
    <col min="17" max="17" width="9.140625" style="2" customWidth="1" collapsed="1"/>
    <col min="18" max="18" width="12.28515625" style="2" customWidth="1"/>
    <col min="19" max="19" width="9.140625" style="2" customWidth="1"/>
    <col min="20" max="20" width="9.140625" style="244" customWidth="1"/>
    <col min="21" max="21" width="8.42578125" style="2" customWidth="1"/>
    <col min="22" max="22" width="16.140625" style="2" customWidth="1"/>
    <col min="23" max="23" width="11.28515625" style="2" hidden="1" customWidth="1"/>
    <col min="24" max="16384" width="9.140625" style="2"/>
  </cols>
  <sheetData>
    <row r="1" spans="1:26" ht="18.75" x14ac:dyDescent="0.3">
      <c r="A1" s="261" t="s">
        <v>125</v>
      </c>
    </row>
    <row r="2" spans="1:26" x14ac:dyDescent="0.2">
      <c r="J2" s="2" t="s">
        <v>126</v>
      </c>
    </row>
    <row r="3" spans="1:26" s="47" customFormat="1" ht="27" customHeight="1" x14ac:dyDescent="0.2">
      <c r="A3" s="263" t="s">
        <v>127</v>
      </c>
      <c r="B3" s="39" t="s">
        <v>128</v>
      </c>
      <c r="C3" s="40" t="s">
        <v>129</v>
      </c>
      <c r="D3" s="41" t="s">
        <v>130</v>
      </c>
      <c r="E3" s="40" t="s">
        <v>131</v>
      </c>
      <c r="F3" s="42" t="s">
        <v>68</v>
      </c>
      <c r="G3" s="42" t="s">
        <v>132</v>
      </c>
      <c r="H3" s="42" t="s">
        <v>115</v>
      </c>
      <c r="I3" s="43" t="s">
        <v>133</v>
      </c>
      <c r="J3" s="45" t="s">
        <v>117</v>
      </c>
      <c r="K3" s="43" t="s">
        <v>134</v>
      </c>
      <c r="L3" s="44" t="s">
        <v>135</v>
      </c>
      <c r="M3" s="44" t="s">
        <v>136</v>
      </c>
      <c r="N3" s="44" t="s">
        <v>137</v>
      </c>
      <c r="O3" s="45" t="s">
        <v>138</v>
      </c>
      <c r="P3" s="45" t="s">
        <v>139</v>
      </c>
      <c r="Q3" s="46" t="s">
        <v>140</v>
      </c>
      <c r="R3" s="146" t="s">
        <v>83</v>
      </c>
      <c r="S3" s="146" t="s">
        <v>141</v>
      </c>
      <c r="T3" s="245" t="s">
        <v>100</v>
      </c>
      <c r="U3" s="146" t="s">
        <v>114</v>
      </c>
      <c r="V3" s="146" t="s">
        <v>142</v>
      </c>
      <c r="W3" s="47" t="s">
        <v>143</v>
      </c>
      <c r="X3" s="47" t="s">
        <v>1831</v>
      </c>
      <c r="Y3" s="47" t="s">
        <v>1832</v>
      </c>
      <c r="Z3" s="279" t="s">
        <v>1835</v>
      </c>
    </row>
    <row r="4" spans="1:26" s="47" customFormat="1" ht="13.15" customHeight="1" x14ac:dyDescent="0.2">
      <c r="A4" s="264">
        <v>21</v>
      </c>
      <c r="B4" s="48" t="s">
        <v>144</v>
      </c>
      <c r="C4" s="49" t="s">
        <v>145</v>
      </c>
      <c r="D4" s="50">
        <v>35338</v>
      </c>
      <c r="E4" s="49" t="s">
        <v>146</v>
      </c>
      <c r="F4" s="49" t="s">
        <v>70</v>
      </c>
      <c r="G4" s="49" t="s">
        <v>120</v>
      </c>
      <c r="H4" s="49" t="s">
        <v>57</v>
      </c>
      <c r="I4" s="49" t="s">
        <v>147</v>
      </c>
      <c r="J4" s="49" t="s">
        <v>148</v>
      </c>
      <c r="K4" s="49" t="s">
        <v>57</v>
      </c>
      <c r="L4" s="49"/>
      <c r="M4" s="50"/>
      <c r="N4" s="49"/>
      <c r="O4" s="49"/>
      <c r="P4" s="50"/>
      <c r="Q4" s="52"/>
      <c r="R4" s="36"/>
      <c r="S4" s="47" t="s">
        <v>149</v>
      </c>
      <c r="T4" s="246">
        <v>1</v>
      </c>
      <c r="V4" s="47" t="s">
        <v>150</v>
      </c>
      <c r="W4" s="47" t="str">
        <f>IF(AND(T4&lt;&gt;"",NOT(ISNUMBER(T4))),"Non-numeric","")</f>
        <v/>
      </c>
      <c r="X4" s="47" t="s">
        <v>1833</v>
      </c>
      <c r="Y4" s="47" t="s">
        <v>1833</v>
      </c>
      <c r="Z4" s="277">
        <v>13089</v>
      </c>
    </row>
    <row r="5" spans="1:26" s="47" customFormat="1" ht="12" x14ac:dyDescent="0.2">
      <c r="A5" s="264">
        <v>60</v>
      </c>
      <c r="B5" s="48" t="s">
        <v>151</v>
      </c>
      <c r="C5" s="49" t="s">
        <v>152</v>
      </c>
      <c r="D5" s="50">
        <v>36787</v>
      </c>
      <c r="E5" s="49" t="s">
        <v>153</v>
      </c>
      <c r="F5" s="49" t="s">
        <v>73</v>
      </c>
      <c r="G5" s="49" t="s">
        <v>121</v>
      </c>
      <c r="H5" s="49" t="s">
        <v>61</v>
      </c>
      <c r="I5" s="49" t="s">
        <v>147</v>
      </c>
      <c r="J5" s="49" t="s">
        <v>60</v>
      </c>
      <c r="K5" s="49" t="s">
        <v>60</v>
      </c>
      <c r="L5" s="49"/>
      <c r="M5" s="50"/>
      <c r="N5" s="49"/>
      <c r="O5" s="49"/>
      <c r="P5" s="50"/>
      <c r="Q5" s="52"/>
      <c r="R5" s="138">
        <v>45891</v>
      </c>
      <c r="S5" s="47" t="s">
        <v>149</v>
      </c>
      <c r="T5" s="246">
        <v>1</v>
      </c>
      <c r="V5" s="47" t="s">
        <v>150</v>
      </c>
      <c r="W5" s="47" t="str">
        <f t="shared" ref="W5:W68" si="0">IF(AND(T5&lt;&gt;"",NOT(ISNUMBER(T5))),"Non-numeric","")</f>
        <v/>
      </c>
      <c r="X5" s="47" t="s">
        <v>349</v>
      </c>
      <c r="Y5" s="47" t="s">
        <v>1833</v>
      </c>
    </row>
    <row r="6" spans="1:26" s="47" customFormat="1" ht="12" x14ac:dyDescent="0.2">
      <c r="A6" s="264">
        <v>63</v>
      </c>
      <c r="B6" s="48" t="s">
        <v>154</v>
      </c>
      <c r="C6" s="49" t="s">
        <v>155</v>
      </c>
      <c r="D6" s="50">
        <v>36823</v>
      </c>
      <c r="E6" s="49" t="s">
        <v>156</v>
      </c>
      <c r="F6" s="49" t="s">
        <v>70</v>
      </c>
      <c r="G6" s="49" t="s">
        <v>121</v>
      </c>
      <c r="H6" s="49" t="s">
        <v>46</v>
      </c>
      <c r="I6" s="49" t="s">
        <v>157</v>
      </c>
      <c r="J6" s="49" t="s">
        <v>158</v>
      </c>
      <c r="K6" s="49" t="s">
        <v>46</v>
      </c>
      <c r="L6" s="49"/>
      <c r="M6" s="50"/>
      <c r="N6" s="49"/>
      <c r="O6" s="49"/>
      <c r="P6" s="50"/>
      <c r="Q6" s="52"/>
      <c r="R6" s="36"/>
      <c r="S6" s="47" t="s">
        <v>149</v>
      </c>
      <c r="T6" s="246">
        <v>1</v>
      </c>
      <c r="V6" s="47" t="s">
        <v>150</v>
      </c>
      <c r="W6" s="47" t="str">
        <f t="shared" si="0"/>
        <v/>
      </c>
      <c r="X6" s="47" t="s">
        <v>1833</v>
      </c>
      <c r="Y6" s="47" t="s">
        <v>1833</v>
      </c>
      <c r="Z6" s="277">
        <v>45901</v>
      </c>
    </row>
    <row r="7" spans="1:26" s="47" customFormat="1" ht="12" x14ac:dyDescent="0.2">
      <c r="A7" s="264">
        <v>65</v>
      </c>
      <c r="B7" s="48" t="s">
        <v>159</v>
      </c>
      <c r="C7" s="49" t="s">
        <v>160</v>
      </c>
      <c r="D7" s="50">
        <v>36842</v>
      </c>
      <c r="E7" s="49" t="s">
        <v>161</v>
      </c>
      <c r="F7" s="49" t="s">
        <v>70</v>
      </c>
      <c r="G7" s="49" t="s">
        <v>120</v>
      </c>
      <c r="H7" s="49" t="s">
        <v>57</v>
      </c>
      <c r="I7" s="49" t="s">
        <v>162</v>
      </c>
      <c r="J7" s="49" t="s">
        <v>163</v>
      </c>
      <c r="K7" s="49" t="s">
        <v>57</v>
      </c>
      <c r="L7" s="49"/>
      <c r="M7" s="50"/>
      <c r="N7" s="49"/>
      <c r="O7" s="49"/>
      <c r="P7" s="50"/>
      <c r="Q7" s="52"/>
      <c r="R7" s="36"/>
      <c r="S7" s="47" t="s">
        <v>149</v>
      </c>
      <c r="T7" s="246">
        <v>1</v>
      </c>
      <c r="V7" s="47" t="s">
        <v>150</v>
      </c>
      <c r="W7" s="47" t="str">
        <f t="shared" si="0"/>
        <v/>
      </c>
      <c r="X7" s="47" t="s">
        <v>349</v>
      </c>
      <c r="Y7" s="47" t="s">
        <v>1833</v>
      </c>
    </row>
    <row r="8" spans="1:26" s="47" customFormat="1" ht="12" x14ac:dyDescent="0.2">
      <c r="A8" s="264">
        <v>87</v>
      </c>
      <c r="B8" s="48" t="s">
        <v>164</v>
      </c>
      <c r="C8" s="49" t="s">
        <v>165</v>
      </c>
      <c r="D8" s="50">
        <v>38202</v>
      </c>
      <c r="E8" s="49" t="s">
        <v>166</v>
      </c>
      <c r="F8" s="49" t="s">
        <v>70</v>
      </c>
      <c r="G8" s="49" t="s">
        <v>121</v>
      </c>
      <c r="H8" s="49" t="s">
        <v>46</v>
      </c>
      <c r="I8" s="49" t="s">
        <v>147</v>
      </c>
      <c r="J8" s="49" t="s">
        <v>60</v>
      </c>
      <c r="K8" s="49" t="s">
        <v>60</v>
      </c>
      <c r="L8" s="49"/>
      <c r="M8" s="50"/>
      <c r="N8" s="49"/>
      <c r="O8" s="49"/>
      <c r="P8" s="50"/>
      <c r="Q8" s="52"/>
      <c r="R8" s="36"/>
      <c r="S8" s="47" t="s">
        <v>149</v>
      </c>
      <c r="T8" s="246">
        <v>1</v>
      </c>
      <c r="V8" s="47" t="s">
        <v>150</v>
      </c>
      <c r="W8" s="47" t="str">
        <f t="shared" si="0"/>
        <v/>
      </c>
      <c r="X8" s="47" t="s">
        <v>1833</v>
      </c>
      <c r="Y8" s="47" t="s">
        <v>1833</v>
      </c>
      <c r="Z8" s="277">
        <v>45901</v>
      </c>
    </row>
    <row r="9" spans="1:26" s="47" customFormat="1" ht="12" x14ac:dyDescent="0.2">
      <c r="A9" s="264">
        <v>98</v>
      </c>
      <c r="B9" s="48" t="s">
        <v>167</v>
      </c>
      <c r="C9" s="49" t="s">
        <v>168</v>
      </c>
      <c r="D9" s="50">
        <v>38495</v>
      </c>
      <c r="E9" s="49" t="s">
        <v>169</v>
      </c>
      <c r="F9" s="49" t="s">
        <v>70</v>
      </c>
      <c r="G9" s="49" t="s">
        <v>120</v>
      </c>
      <c r="H9" s="49" t="s">
        <v>46</v>
      </c>
      <c r="I9" s="49" t="s">
        <v>170</v>
      </c>
      <c r="J9" s="49" t="s">
        <v>158</v>
      </c>
      <c r="K9" s="49" t="s">
        <v>46</v>
      </c>
      <c r="L9" s="49"/>
      <c r="M9" s="50"/>
      <c r="N9" s="49"/>
      <c r="O9" s="49"/>
      <c r="P9" s="50"/>
      <c r="Q9" s="52"/>
      <c r="R9" s="36"/>
      <c r="S9" s="47" t="s">
        <v>149</v>
      </c>
      <c r="T9" s="246">
        <v>1</v>
      </c>
      <c r="V9" s="47" t="s">
        <v>150</v>
      </c>
      <c r="W9" s="47" t="str">
        <f t="shared" si="0"/>
        <v/>
      </c>
      <c r="X9" s="47" t="s">
        <v>349</v>
      </c>
      <c r="Y9" s="47" t="s">
        <v>349</v>
      </c>
      <c r="Z9" s="277">
        <v>45992</v>
      </c>
    </row>
    <row r="10" spans="1:26" s="47" customFormat="1" ht="12" x14ac:dyDescent="0.2">
      <c r="A10" s="264">
        <v>101</v>
      </c>
      <c r="B10" s="48" t="s">
        <v>171</v>
      </c>
      <c r="C10" s="49" t="s">
        <v>172</v>
      </c>
      <c r="D10" s="50">
        <v>38551</v>
      </c>
      <c r="E10" s="49" t="s">
        <v>173</v>
      </c>
      <c r="F10" s="49" t="s">
        <v>70</v>
      </c>
      <c r="G10" s="49" t="s">
        <v>124</v>
      </c>
      <c r="H10" s="49" t="s">
        <v>61</v>
      </c>
      <c r="I10" s="49" t="s">
        <v>174</v>
      </c>
      <c r="J10" s="49" t="s">
        <v>175</v>
      </c>
      <c r="K10" s="49" t="s">
        <v>61</v>
      </c>
      <c r="L10" s="49"/>
      <c r="M10" s="50"/>
      <c r="N10" s="49"/>
      <c r="O10" s="49"/>
      <c r="P10" s="50"/>
      <c r="Q10" s="52"/>
      <c r="R10" s="36"/>
      <c r="S10" s="47" t="s">
        <v>149</v>
      </c>
      <c r="T10" s="246">
        <v>1</v>
      </c>
      <c r="V10" s="47" t="s">
        <v>150</v>
      </c>
      <c r="W10" s="47" t="str">
        <f t="shared" si="0"/>
        <v/>
      </c>
      <c r="X10" s="47" t="s">
        <v>349</v>
      </c>
      <c r="Y10" s="47" t="s">
        <v>1833</v>
      </c>
      <c r="Z10" s="277"/>
    </row>
    <row r="11" spans="1:26" s="47" customFormat="1" ht="12" x14ac:dyDescent="0.2">
      <c r="A11" s="264">
        <v>117</v>
      </c>
      <c r="B11" s="48" t="s">
        <v>176</v>
      </c>
      <c r="C11" s="49" t="s">
        <v>177</v>
      </c>
      <c r="D11" s="50">
        <v>39475</v>
      </c>
      <c r="E11" s="49" t="s">
        <v>178</v>
      </c>
      <c r="F11" s="49" t="s">
        <v>70</v>
      </c>
      <c r="G11" s="49" t="s">
        <v>121</v>
      </c>
      <c r="H11" s="49" t="s">
        <v>55</v>
      </c>
      <c r="I11" s="49" t="s">
        <v>147</v>
      </c>
      <c r="J11" s="49" t="s">
        <v>60</v>
      </c>
      <c r="K11" s="49" t="s">
        <v>60</v>
      </c>
      <c r="L11" s="49"/>
      <c r="M11" s="50"/>
      <c r="N11" s="49"/>
      <c r="O11" s="49"/>
      <c r="P11" s="50"/>
      <c r="Q11" s="52"/>
      <c r="R11" s="36"/>
      <c r="S11" s="47" t="s">
        <v>149</v>
      </c>
      <c r="T11" s="246">
        <v>1</v>
      </c>
      <c r="V11" s="47" t="s">
        <v>150</v>
      </c>
      <c r="W11" s="47" t="str">
        <f t="shared" si="0"/>
        <v/>
      </c>
      <c r="X11" s="47" t="s">
        <v>1833</v>
      </c>
      <c r="Y11" s="47" t="s">
        <v>1833</v>
      </c>
      <c r="Z11" s="277">
        <v>45931</v>
      </c>
    </row>
    <row r="12" spans="1:26" s="47" customFormat="1" ht="12" x14ac:dyDescent="0.2">
      <c r="A12" s="264">
        <v>115</v>
      </c>
      <c r="B12" s="48" t="s">
        <v>179</v>
      </c>
      <c r="C12" s="49" t="s">
        <v>180</v>
      </c>
      <c r="D12" s="50">
        <v>39630</v>
      </c>
      <c r="E12" s="49" t="s">
        <v>181</v>
      </c>
      <c r="F12" s="49" t="s">
        <v>70</v>
      </c>
      <c r="G12" s="49" t="s">
        <v>120</v>
      </c>
      <c r="H12" s="49" t="s">
        <v>46</v>
      </c>
      <c r="I12" s="49" t="s">
        <v>170</v>
      </c>
      <c r="J12" s="49" t="s">
        <v>158</v>
      </c>
      <c r="K12" s="49" t="s">
        <v>59</v>
      </c>
      <c r="L12" s="49"/>
      <c r="M12" s="50"/>
      <c r="N12" s="49"/>
      <c r="O12" s="49"/>
      <c r="P12" s="50"/>
      <c r="Q12" s="52" t="s">
        <v>182</v>
      </c>
      <c r="R12" s="36"/>
      <c r="S12" s="47" t="s">
        <v>149</v>
      </c>
      <c r="T12" s="246">
        <v>1</v>
      </c>
      <c r="V12" s="47" t="s">
        <v>150</v>
      </c>
      <c r="W12" s="47" t="str">
        <f t="shared" si="0"/>
        <v/>
      </c>
      <c r="X12" s="47" t="s">
        <v>349</v>
      </c>
      <c r="Y12" s="47" t="s">
        <v>349</v>
      </c>
      <c r="Z12" s="277">
        <v>45992</v>
      </c>
    </row>
    <row r="13" spans="1:26" s="47" customFormat="1" ht="12" hidden="1" x14ac:dyDescent="0.2">
      <c r="A13" s="264">
        <v>133</v>
      </c>
      <c r="B13" s="48" t="s">
        <v>183</v>
      </c>
      <c r="C13" s="49" t="s">
        <v>184</v>
      </c>
      <c r="D13" s="50">
        <v>39958</v>
      </c>
      <c r="E13" s="49" t="s">
        <v>185</v>
      </c>
      <c r="F13" s="49" t="s">
        <v>70</v>
      </c>
      <c r="G13" s="49" t="s">
        <v>186</v>
      </c>
      <c r="H13" s="49" t="s">
        <v>46</v>
      </c>
      <c r="I13" s="49" t="s">
        <v>187</v>
      </c>
      <c r="J13" s="49"/>
      <c r="K13" s="49" t="s">
        <v>46</v>
      </c>
      <c r="L13" s="49"/>
      <c r="M13" s="50"/>
      <c r="N13" s="49"/>
      <c r="O13" s="49"/>
      <c r="P13" s="50"/>
      <c r="Q13" s="52"/>
      <c r="R13" s="138">
        <v>45576</v>
      </c>
      <c r="T13" s="246">
        <v>1</v>
      </c>
      <c r="V13" s="47" t="s">
        <v>150</v>
      </c>
      <c r="W13" s="47" t="str">
        <f t="shared" si="0"/>
        <v/>
      </c>
      <c r="X13" s="47" t="s">
        <v>349</v>
      </c>
      <c r="Y13" s="47" t="s">
        <v>349</v>
      </c>
      <c r="Z13" s="277">
        <v>45992</v>
      </c>
    </row>
    <row r="14" spans="1:26" s="47" customFormat="1" ht="12" x14ac:dyDescent="0.2">
      <c r="A14" s="264">
        <v>138</v>
      </c>
      <c r="B14" s="48" t="s">
        <v>188</v>
      </c>
      <c r="C14" s="49" t="s">
        <v>189</v>
      </c>
      <c r="D14" s="50">
        <v>40067</v>
      </c>
      <c r="E14" s="49" t="s">
        <v>190</v>
      </c>
      <c r="F14" s="49" t="s">
        <v>70</v>
      </c>
      <c r="G14" s="49" t="s">
        <v>120</v>
      </c>
      <c r="H14" s="49" t="s">
        <v>57</v>
      </c>
      <c r="I14" s="49" t="s">
        <v>147</v>
      </c>
      <c r="J14" s="49" t="s">
        <v>72</v>
      </c>
      <c r="K14" s="49" t="s">
        <v>57</v>
      </c>
      <c r="L14" s="49"/>
      <c r="M14" s="50"/>
      <c r="N14" s="49"/>
      <c r="O14" s="49"/>
      <c r="P14" s="50"/>
      <c r="Q14" s="52"/>
      <c r="R14" s="36"/>
      <c r="S14" s="47" t="s">
        <v>149</v>
      </c>
      <c r="T14" s="246">
        <v>1</v>
      </c>
      <c r="V14" s="47" t="s">
        <v>150</v>
      </c>
      <c r="W14" s="47" t="str">
        <f t="shared" si="0"/>
        <v/>
      </c>
      <c r="X14" s="47" t="s">
        <v>349</v>
      </c>
      <c r="Y14" s="47" t="s">
        <v>1833</v>
      </c>
      <c r="Z14" s="277"/>
    </row>
    <row r="15" spans="1:26" s="47" customFormat="1" ht="12" x14ac:dyDescent="0.2">
      <c r="A15" s="264">
        <v>154</v>
      </c>
      <c r="B15" s="48" t="s">
        <v>191</v>
      </c>
      <c r="C15" s="49" t="s">
        <v>192</v>
      </c>
      <c r="D15" s="50">
        <v>40959</v>
      </c>
      <c r="E15" s="49" t="s">
        <v>193</v>
      </c>
      <c r="F15" s="49" t="s">
        <v>70</v>
      </c>
      <c r="G15" s="49" t="s">
        <v>120</v>
      </c>
      <c r="H15" s="49" t="s">
        <v>61</v>
      </c>
      <c r="I15" s="49" t="s">
        <v>194</v>
      </c>
      <c r="J15" s="49" t="s">
        <v>175</v>
      </c>
      <c r="K15" s="49" t="s">
        <v>61</v>
      </c>
      <c r="L15" s="49"/>
      <c r="M15" s="50"/>
      <c r="N15" s="49"/>
      <c r="O15" s="49"/>
      <c r="P15" s="50"/>
      <c r="Q15" s="52"/>
      <c r="R15" s="138">
        <v>46031</v>
      </c>
      <c r="S15" s="47" t="s">
        <v>149</v>
      </c>
      <c r="T15" s="246">
        <v>1</v>
      </c>
      <c r="V15" s="47" t="s">
        <v>195</v>
      </c>
      <c r="W15" s="47" t="str">
        <f t="shared" si="0"/>
        <v/>
      </c>
      <c r="X15" s="47" t="s">
        <v>349</v>
      </c>
      <c r="Y15" s="47" t="s">
        <v>1833</v>
      </c>
      <c r="Z15" s="277"/>
    </row>
    <row r="16" spans="1:26" s="47" customFormat="1" ht="12" x14ac:dyDescent="0.2">
      <c r="A16" s="264">
        <v>153</v>
      </c>
      <c r="B16" s="48" t="s">
        <v>196</v>
      </c>
      <c r="C16" s="49" t="s">
        <v>197</v>
      </c>
      <c r="D16" s="50">
        <v>41120</v>
      </c>
      <c r="E16" s="49" t="s">
        <v>198</v>
      </c>
      <c r="F16" s="49" t="s">
        <v>70</v>
      </c>
      <c r="G16" s="49" t="s">
        <v>121</v>
      </c>
      <c r="H16" s="49" t="s">
        <v>59</v>
      </c>
      <c r="I16" s="49" t="s">
        <v>147</v>
      </c>
      <c r="J16" s="49" t="s">
        <v>60</v>
      </c>
      <c r="K16" s="49" t="s">
        <v>60</v>
      </c>
      <c r="L16" s="49"/>
      <c r="M16" s="50"/>
      <c r="N16" s="49"/>
      <c r="O16" s="49"/>
      <c r="P16" s="50"/>
      <c r="Q16" s="52"/>
      <c r="R16" s="36"/>
      <c r="S16" s="47" t="s">
        <v>149</v>
      </c>
      <c r="T16" s="246">
        <v>1</v>
      </c>
      <c r="V16" s="47" t="s">
        <v>195</v>
      </c>
      <c r="W16" s="47" t="str">
        <f t="shared" si="0"/>
        <v/>
      </c>
      <c r="X16" s="47" t="s">
        <v>1833</v>
      </c>
      <c r="Y16" s="47" t="s">
        <v>1833</v>
      </c>
      <c r="Z16" s="277">
        <v>45901</v>
      </c>
    </row>
    <row r="17" spans="1:26" s="47" customFormat="1" ht="12" x14ac:dyDescent="0.2">
      <c r="A17" s="264">
        <v>142</v>
      </c>
      <c r="B17" s="48" t="s">
        <v>199</v>
      </c>
      <c r="C17" s="49" t="s">
        <v>200</v>
      </c>
      <c r="D17" s="50">
        <v>41171</v>
      </c>
      <c r="E17" s="49" t="s">
        <v>201</v>
      </c>
      <c r="F17" s="49" t="s">
        <v>70</v>
      </c>
      <c r="G17" s="49" t="s">
        <v>120</v>
      </c>
      <c r="H17" s="49" t="s">
        <v>46</v>
      </c>
      <c r="I17" s="49" t="s">
        <v>202</v>
      </c>
      <c r="J17" s="49" t="s">
        <v>203</v>
      </c>
      <c r="K17" s="49" t="s">
        <v>46</v>
      </c>
      <c r="L17" s="49"/>
      <c r="M17" s="50"/>
      <c r="N17" s="49"/>
      <c r="O17" s="49"/>
      <c r="P17" s="50"/>
      <c r="Q17" s="52"/>
      <c r="R17" s="36"/>
      <c r="S17" s="47" t="s">
        <v>149</v>
      </c>
      <c r="T17" s="246">
        <v>1</v>
      </c>
      <c r="V17" s="47" t="s">
        <v>150</v>
      </c>
      <c r="W17" s="47" t="str">
        <f t="shared" si="0"/>
        <v/>
      </c>
      <c r="X17" s="47" t="s">
        <v>349</v>
      </c>
      <c r="Y17" s="47" t="s">
        <v>349</v>
      </c>
      <c r="Z17" s="277">
        <v>45992</v>
      </c>
    </row>
    <row r="18" spans="1:26" s="47" customFormat="1" ht="12" x14ac:dyDescent="0.2">
      <c r="A18" s="264">
        <v>165</v>
      </c>
      <c r="B18" s="48" t="s">
        <v>204</v>
      </c>
      <c r="C18" s="49" t="s">
        <v>205</v>
      </c>
      <c r="D18" s="50">
        <v>41390</v>
      </c>
      <c r="E18" s="49" t="s">
        <v>206</v>
      </c>
      <c r="F18" s="49" t="s">
        <v>75</v>
      </c>
      <c r="G18" s="49" t="s">
        <v>122</v>
      </c>
      <c r="H18" s="49" t="s">
        <v>46</v>
      </c>
      <c r="I18" s="49" t="s">
        <v>207</v>
      </c>
      <c r="J18" s="49" t="s">
        <v>158</v>
      </c>
      <c r="K18" s="49" t="s">
        <v>46</v>
      </c>
      <c r="L18" s="49"/>
      <c r="M18" s="50"/>
      <c r="N18" s="49"/>
      <c r="O18" s="49"/>
      <c r="P18" s="50"/>
      <c r="Q18" s="52" t="s">
        <v>208</v>
      </c>
      <c r="R18" s="36"/>
      <c r="S18" s="47" t="s">
        <v>149</v>
      </c>
      <c r="T18" s="246">
        <v>1</v>
      </c>
      <c r="V18" s="47" t="s">
        <v>150</v>
      </c>
      <c r="W18" s="47" t="str">
        <f t="shared" si="0"/>
        <v/>
      </c>
      <c r="X18" s="47" t="s">
        <v>349</v>
      </c>
      <c r="Y18" s="47" t="s">
        <v>349</v>
      </c>
      <c r="Z18" s="277">
        <v>45992</v>
      </c>
    </row>
    <row r="19" spans="1:26" s="47" customFormat="1" ht="12" hidden="1" x14ac:dyDescent="0.2">
      <c r="A19" s="264">
        <v>200</v>
      </c>
      <c r="B19" s="48" t="s">
        <v>209</v>
      </c>
      <c r="C19" s="49" t="s">
        <v>210</v>
      </c>
      <c r="D19" s="50">
        <v>41641</v>
      </c>
      <c r="E19" s="49" t="s">
        <v>211</v>
      </c>
      <c r="F19" s="49" t="s">
        <v>70</v>
      </c>
      <c r="G19" s="49" t="s">
        <v>121</v>
      </c>
      <c r="H19" s="49" t="s">
        <v>60</v>
      </c>
      <c r="I19" s="49" t="s">
        <v>147</v>
      </c>
      <c r="J19" s="49" t="s">
        <v>60</v>
      </c>
      <c r="K19" s="49" t="s">
        <v>60</v>
      </c>
      <c r="L19" s="49"/>
      <c r="M19" s="50"/>
      <c r="N19" s="49"/>
      <c r="O19" s="49"/>
      <c r="P19" s="50"/>
      <c r="Q19" s="52" t="s">
        <v>212</v>
      </c>
      <c r="R19" s="138">
        <v>45716</v>
      </c>
      <c r="S19" s="47" t="s">
        <v>213</v>
      </c>
      <c r="T19" s="246">
        <v>1</v>
      </c>
      <c r="V19" s="47" t="s">
        <v>150</v>
      </c>
      <c r="W19" s="47" t="str">
        <f t="shared" si="0"/>
        <v/>
      </c>
      <c r="X19" s="47" t="s">
        <v>349</v>
      </c>
      <c r="Y19" s="47" t="s">
        <v>1833</v>
      </c>
      <c r="Z19" s="277"/>
    </row>
    <row r="20" spans="1:26" s="47" customFormat="1" ht="12" x14ac:dyDescent="0.2">
      <c r="A20" s="264">
        <v>211</v>
      </c>
      <c r="B20" s="48" t="s">
        <v>214</v>
      </c>
      <c r="C20" s="49" t="s">
        <v>215</v>
      </c>
      <c r="D20" s="50">
        <v>41651</v>
      </c>
      <c r="E20" s="49" t="s">
        <v>216</v>
      </c>
      <c r="F20" s="49" t="s">
        <v>70</v>
      </c>
      <c r="G20" s="49" t="s">
        <v>120</v>
      </c>
      <c r="H20" s="49" t="s">
        <v>61</v>
      </c>
      <c r="I20" s="49" t="s">
        <v>174</v>
      </c>
      <c r="J20" s="49" t="s">
        <v>175</v>
      </c>
      <c r="K20" s="49" t="s">
        <v>61</v>
      </c>
      <c r="L20" s="49"/>
      <c r="M20" s="50"/>
      <c r="N20" s="49"/>
      <c r="O20" s="49"/>
      <c r="P20" s="50"/>
      <c r="Q20" s="52"/>
      <c r="R20" s="36"/>
      <c r="S20" s="47" t="s">
        <v>149</v>
      </c>
      <c r="T20" s="246">
        <v>1</v>
      </c>
      <c r="V20" s="47" t="s">
        <v>150</v>
      </c>
      <c r="W20" s="47" t="str">
        <f t="shared" si="0"/>
        <v/>
      </c>
      <c r="X20" s="47" t="s">
        <v>349</v>
      </c>
      <c r="Y20" s="47" t="s">
        <v>1833</v>
      </c>
      <c r="Z20" s="277"/>
    </row>
    <row r="21" spans="1:26" s="47" customFormat="1" ht="12" x14ac:dyDescent="0.2">
      <c r="A21" s="264">
        <v>197</v>
      </c>
      <c r="B21" s="48" t="s">
        <v>217</v>
      </c>
      <c r="C21" s="49" t="s">
        <v>218</v>
      </c>
      <c r="D21" s="50">
        <v>41652</v>
      </c>
      <c r="E21" s="49" t="s">
        <v>219</v>
      </c>
      <c r="F21" s="49" t="s">
        <v>70</v>
      </c>
      <c r="G21" s="49" t="s">
        <v>220</v>
      </c>
      <c r="H21" s="49" t="s">
        <v>56</v>
      </c>
      <c r="I21" s="49" t="s">
        <v>221</v>
      </c>
      <c r="J21" s="49" t="s">
        <v>222</v>
      </c>
      <c r="K21" s="49" t="s">
        <v>223</v>
      </c>
      <c r="L21" s="49"/>
      <c r="M21" s="50"/>
      <c r="N21" s="49"/>
      <c r="O21" s="49"/>
      <c r="P21" s="50"/>
      <c r="Q21" s="52"/>
      <c r="R21" s="36"/>
      <c r="S21" s="47" t="s">
        <v>213</v>
      </c>
      <c r="T21" s="246">
        <v>0.8</v>
      </c>
      <c r="V21" s="47" t="s">
        <v>195</v>
      </c>
      <c r="W21" s="47" t="str">
        <f t="shared" si="0"/>
        <v/>
      </c>
      <c r="X21" s="47" t="s">
        <v>1833</v>
      </c>
      <c r="Y21" s="47" t="s">
        <v>1833</v>
      </c>
      <c r="Z21" s="277">
        <v>45870</v>
      </c>
    </row>
    <row r="22" spans="1:26" s="47" customFormat="1" ht="12" x14ac:dyDescent="0.2">
      <c r="A22" s="264">
        <v>202</v>
      </c>
      <c r="B22" s="48" t="s">
        <v>224</v>
      </c>
      <c r="C22" s="49" t="s">
        <v>225</v>
      </c>
      <c r="D22" s="50">
        <v>41701</v>
      </c>
      <c r="E22" s="49" t="s">
        <v>226</v>
      </c>
      <c r="F22" s="49" t="s">
        <v>70</v>
      </c>
      <c r="G22" s="49" t="s">
        <v>227</v>
      </c>
      <c r="H22" s="49" t="s">
        <v>56</v>
      </c>
      <c r="I22" s="49" t="s">
        <v>228</v>
      </c>
      <c r="J22" s="49" t="s">
        <v>227</v>
      </c>
      <c r="K22" s="49" t="s">
        <v>223</v>
      </c>
      <c r="L22" s="49"/>
      <c r="M22" s="50"/>
      <c r="N22" s="49"/>
      <c r="O22" s="49"/>
      <c r="P22" s="50"/>
      <c r="Q22" s="52"/>
      <c r="R22" s="36"/>
      <c r="S22" s="47" t="s">
        <v>149</v>
      </c>
      <c r="T22" s="246">
        <v>1</v>
      </c>
      <c r="V22" s="47" t="s">
        <v>195</v>
      </c>
      <c r="W22" s="47" t="str">
        <f t="shared" si="0"/>
        <v/>
      </c>
      <c r="X22" s="47" t="s">
        <v>1833</v>
      </c>
      <c r="Y22" s="47" t="s">
        <v>1833</v>
      </c>
      <c r="Z22" s="277">
        <v>45870</v>
      </c>
    </row>
    <row r="23" spans="1:26" s="47" customFormat="1" ht="12" x14ac:dyDescent="0.2">
      <c r="A23" s="264">
        <v>203</v>
      </c>
      <c r="B23" s="48" t="s">
        <v>229</v>
      </c>
      <c r="C23" s="49" t="s">
        <v>230</v>
      </c>
      <c r="D23" s="50">
        <v>41715</v>
      </c>
      <c r="E23" s="49" t="s">
        <v>169</v>
      </c>
      <c r="F23" s="49" t="s">
        <v>70</v>
      </c>
      <c r="G23" s="49" t="s">
        <v>120</v>
      </c>
      <c r="H23" s="49" t="s">
        <v>57</v>
      </c>
      <c r="I23" s="49" t="s">
        <v>231</v>
      </c>
      <c r="J23" s="49" t="s">
        <v>72</v>
      </c>
      <c r="K23" s="49" t="s">
        <v>57</v>
      </c>
      <c r="L23" s="49"/>
      <c r="M23" s="50"/>
      <c r="N23" s="49"/>
      <c r="O23" s="49"/>
      <c r="P23" s="50"/>
      <c r="Q23" s="52"/>
      <c r="R23" s="36"/>
      <c r="S23" s="47" t="s">
        <v>149</v>
      </c>
      <c r="T23" s="246">
        <v>1</v>
      </c>
      <c r="V23" s="47" t="s">
        <v>150</v>
      </c>
      <c r="W23" s="47" t="str">
        <f t="shared" si="0"/>
        <v/>
      </c>
      <c r="X23" s="47" t="s">
        <v>349</v>
      </c>
      <c r="Y23" s="47" t="s">
        <v>1833</v>
      </c>
      <c r="Z23" s="277"/>
    </row>
    <row r="24" spans="1:26" s="47" customFormat="1" ht="12" x14ac:dyDescent="0.2">
      <c r="A24" s="264">
        <v>274</v>
      </c>
      <c r="B24" s="48" t="s">
        <v>232</v>
      </c>
      <c r="C24" s="49" t="s">
        <v>233</v>
      </c>
      <c r="D24" s="50">
        <v>41957</v>
      </c>
      <c r="E24" s="49" t="s">
        <v>234</v>
      </c>
      <c r="F24" s="49" t="s">
        <v>70</v>
      </c>
      <c r="G24" s="49" t="s">
        <v>106</v>
      </c>
      <c r="H24" s="49" t="s">
        <v>46</v>
      </c>
      <c r="I24" s="49" t="s">
        <v>157</v>
      </c>
      <c r="J24" s="49" t="s">
        <v>106</v>
      </c>
      <c r="K24" s="49" t="s">
        <v>46</v>
      </c>
      <c r="L24" s="49"/>
      <c r="M24" s="50"/>
      <c r="N24" s="49"/>
      <c r="O24" s="49"/>
      <c r="P24" s="50"/>
      <c r="Q24" s="52"/>
      <c r="R24" s="138">
        <v>45875</v>
      </c>
      <c r="S24" s="47" t="s">
        <v>149</v>
      </c>
      <c r="T24" s="246">
        <v>1</v>
      </c>
      <c r="V24" s="47" t="s">
        <v>150</v>
      </c>
      <c r="W24" s="47" t="str">
        <f t="shared" si="0"/>
        <v/>
      </c>
      <c r="X24" s="47" t="s">
        <v>349</v>
      </c>
      <c r="Y24" s="47" t="s">
        <v>349</v>
      </c>
      <c r="Z24" s="277">
        <v>45992</v>
      </c>
    </row>
    <row r="25" spans="1:26" s="47" customFormat="1" ht="12" x14ac:dyDescent="0.2">
      <c r="A25" s="264">
        <v>190</v>
      </c>
      <c r="B25" s="48" t="s">
        <v>235</v>
      </c>
      <c r="C25" s="49" t="s">
        <v>236</v>
      </c>
      <c r="D25" s="50">
        <v>41984</v>
      </c>
      <c r="E25" s="49" t="s">
        <v>237</v>
      </c>
      <c r="F25" s="49" t="s">
        <v>70</v>
      </c>
      <c r="G25" s="49" t="s">
        <v>120</v>
      </c>
      <c r="H25" s="49" t="s">
        <v>57</v>
      </c>
      <c r="I25" s="49" t="s">
        <v>238</v>
      </c>
      <c r="J25" s="49" t="s">
        <v>239</v>
      </c>
      <c r="K25" s="49" t="s">
        <v>57</v>
      </c>
      <c r="L25" s="49"/>
      <c r="M25" s="50"/>
      <c r="N25" s="49"/>
      <c r="O25" s="49"/>
      <c r="P25" s="50"/>
      <c r="Q25" s="52" t="s">
        <v>240</v>
      </c>
      <c r="R25" s="36"/>
      <c r="S25" s="47" t="s">
        <v>149</v>
      </c>
      <c r="T25" s="246">
        <v>1</v>
      </c>
      <c r="V25" s="47" t="s">
        <v>150</v>
      </c>
      <c r="W25" s="47" t="str">
        <f t="shared" si="0"/>
        <v/>
      </c>
      <c r="X25" s="47" t="s">
        <v>349</v>
      </c>
      <c r="Y25" s="47" t="s">
        <v>1833</v>
      </c>
      <c r="Z25" s="277"/>
    </row>
    <row r="26" spans="1:26" s="47" customFormat="1" ht="12" x14ac:dyDescent="0.2">
      <c r="A26" s="264">
        <v>249</v>
      </c>
      <c r="B26" s="48" t="s">
        <v>241</v>
      </c>
      <c r="C26" s="49" t="s">
        <v>242</v>
      </c>
      <c r="D26" s="50">
        <v>42377</v>
      </c>
      <c r="E26" s="49" t="s">
        <v>243</v>
      </c>
      <c r="F26" s="49" t="s">
        <v>91</v>
      </c>
      <c r="G26" s="49" t="s">
        <v>119</v>
      </c>
      <c r="H26" s="49" t="s">
        <v>63</v>
      </c>
      <c r="I26" s="49" t="s">
        <v>244</v>
      </c>
      <c r="J26" s="49" t="s">
        <v>245</v>
      </c>
      <c r="K26" s="49" t="s">
        <v>60</v>
      </c>
      <c r="L26" s="49"/>
      <c r="M26" s="50"/>
      <c r="N26" s="49"/>
      <c r="O26" s="49"/>
      <c r="P26" s="50"/>
      <c r="Q26" s="52"/>
      <c r="R26" s="36"/>
      <c r="S26" s="47" t="s">
        <v>149</v>
      </c>
      <c r="T26" s="246">
        <v>1</v>
      </c>
      <c r="V26" s="47" t="s">
        <v>195</v>
      </c>
      <c r="W26" s="47" t="str">
        <f t="shared" si="0"/>
        <v/>
      </c>
      <c r="X26" s="47" t="s">
        <v>1833</v>
      </c>
      <c r="Y26" s="278" t="s">
        <v>349</v>
      </c>
      <c r="Z26" s="277">
        <v>45962</v>
      </c>
    </row>
    <row r="27" spans="1:26" s="47" customFormat="1" ht="12" x14ac:dyDescent="0.2">
      <c r="A27" s="264">
        <v>245</v>
      </c>
      <c r="B27" s="48" t="s">
        <v>246</v>
      </c>
      <c r="C27" s="49" t="s">
        <v>247</v>
      </c>
      <c r="D27" s="50">
        <v>42435</v>
      </c>
      <c r="E27" s="49" t="s">
        <v>248</v>
      </c>
      <c r="F27" s="49" t="s">
        <v>70</v>
      </c>
      <c r="G27" s="49" t="s">
        <v>124</v>
      </c>
      <c r="H27" s="49" t="s">
        <v>61</v>
      </c>
      <c r="I27" s="49" t="s">
        <v>174</v>
      </c>
      <c r="J27" s="49" t="s">
        <v>249</v>
      </c>
      <c r="K27" s="49" t="s">
        <v>46</v>
      </c>
      <c r="L27" s="49"/>
      <c r="M27" s="50" t="s">
        <v>250</v>
      </c>
      <c r="N27" s="49"/>
      <c r="O27" s="49"/>
      <c r="P27" s="50"/>
      <c r="Q27" s="52"/>
      <c r="R27" s="138">
        <v>45982</v>
      </c>
      <c r="S27" s="47" t="s">
        <v>149</v>
      </c>
      <c r="T27" s="246">
        <v>1</v>
      </c>
      <c r="V27" s="47" t="s">
        <v>195</v>
      </c>
      <c r="W27" s="47" t="str">
        <f t="shared" si="0"/>
        <v/>
      </c>
      <c r="X27" s="47" t="s">
        <v>349</v>
      </c>
      <c r="Y27" s="47" t="s">
        <v>1833</v>
      </c>
      <c r="Z27" s="277"/>
    </row>
    <row r="28" spans="1:26" s="47" customFormat="1" ht="12" customHeight="1" x14ac:dyDescent="0.2">
      <c r="A28" s="264">
        <v>264</v>
      </c>
      <c r="B28" s="48" t="s">
        <v>251</v>
      </c>
      <c r="C28" s="49" t="s">
        <v>252</v>
      </c>
      <c r="D28" s="50">
        <v>42741</v>
      </c>
      <c r="E28" s="49" t="s">
        <v>169</v>
      </c>
      <c r="F28" s="49" t="s">
        <v>70</v>
      </c>
      <c r="G28" s="49" t="s">
        <v>120</v>
      </c>
      <c r="H28" s="49" t="s">
        <v>57</v>
      </c>
      <c r="I28" s="49" t="s">
        <v>162</v>
      </c>
      <c r="J28" s="49" t="s">
        <v>239</v>
      </c>
      <c r="K28" s="49" t="s">
        <v>57</v>
      </c>
      <c r="L28" s="49"/>
      <c r="M28" s="50"/>
      <c r="N28" s="49"/>
      <c r="O28" s="49"/>
      <c r="P28" s="50"/>
      <c r="Q28" s="52" t="s">
        <v>253</v>
      </c>
      <c r="R28" s="36"/>
      <c r="S28" s="47" t="s">
        <v>149</v>
      </c>
      <c r="T28" s="246">
        <v>1</v>
      </c>
      <c r="V28" s="47" t="s">
        <v>150</v>
      </c>
      <c r="W28" s="47" t="str">
        <f t="shared" si="0"/>
        <v/>
      </c>
      <c r="X28" s="47" t="s">
        <v>349</v>
      </c>
      <c r="Y28" s="47" t="s">
        <v>1833</v>
      </c>
      <c r="Z28" s="277"/>
    </row>
    <row r="29" spans="1:26" s="47" customFormat="1" ht="12" x14ac:dyDescent="0.2">
      <c r="A29" s="264">
        <v>265</v>
      </c>
      <c r="B29" s="48" t="s">
        <v>254</v>
      </c>
      <c r="C29" s="49" t="s">
        <v>255</v>
      </c>
      <c r="D29" s="50">
        <v>42801</v>
      </c>
      <c r="E29" s="49" t="s">
        <v>256</v>
      </c>
      <c r="F29" s="49" t="s">
        <v>75</v>
      </c>
      <c r="G29" s="49" t="s">
        <v>120</v>
      </c>
      <c r="H29" s="49" t="s">
        <v>46</v>
      </c>
      <c r="I29" s="49" t="s">
        <v>187</v>
      </c>
      <c r="J29" s="49" t="s">
        <v>158</v>
      </c>
      <c r="K29" s="49" t="s">
        <v>46</v>
      </c>
      <c r="L29" s="49"/>
      <c r="M29" s="50"/>
      <c r="N29" s="49"/>
      <c r="O29" s="49"/>
      <c r="P29" s="50"/>
      <c r="Q29" s="52" t="s">
        <v>257</v>
      </c>
      <c r="R29" s="36"/>
      <c r="S29" s="47" t="s">
        <v>149</v>
      </c>
      <c r="T29" s="246">
        <v>1</v>
      </c>
      <c r="V29" s="47" t="s">
        <v>150</v>
      </c>
      <c r="W29" s="47" t="str">
        <f t="shared" si="0"/>
        <v/>
      </c>
      <c r="X29" s="47" t="s">
        <v>349</v>
      </c>
      <c r="Y29" s="47" t="s">
        <v>349</v>
      </c>
      <c r="Z29" s="277">
        <v>45992</v>
      </c>
    </row>
    <row r="30" spans="1:26" s="47" customFormat="1" ht="12" x14ac:dyDescent="0.2">
      <c r="A30" s="264">
        <v>267</v>
      </c>
      <c r="B30" s="48" t="s">
        <v>258</v>
      </c>
      <c r="C30" s="49" t="s">
        <v>259</v>
      </c>
      <c r="D30" s="50">
        <v>43024</v>
      </c>
      <c r="E30" s="49" t="s">
        <v>260</v>
      </c>
      <c r="F30" s="49" t="s">
        <v>70</v>
      </c>
      <c r="G30" s="49" t="s">
        <v>220</v>
      </c>
      <c r="H30" s="49" t="s">
        <v>56</v>
      </c>
      <c r="I30" s="49" t="s">
        <v>221</v>
      </c>
      <c r="J30" s="49" t="s">
        <v>222</v>
      </c>
      <c r="K30" s="49" t="s">
        <v>223</v>
      </c>
      <c r="L30" s="49"/>
      <c r="M30" s="50"/>
      <c r="N30" s="49"/>
      <c r="O30" s="49"/>
      <c r="P30" s="50"/>
      <c r="Q30" s="52"/>
      <c r="R30" s="36"/>
      <c r="S30" s="47" t="s">
        <v>149</v>
      </c>
      <c r="T30" s="246">
        <v>1</v>
      </c>
      <c r="V30" s="47" t="s">
        <v>195</v>
      </c>
      <c r="W30" s="47" t="str">
        <f t="shared" si="0"/>
        <v/>
      </c>
      <c r="X30" s="47" t="s">
        <v>1833</v>
      </c>
      <c r="Y30" s="47" t="s">
        <v>1833</v>
      </c>
      <c r="Z30" s="277">
        <v>45870</v>
      </c>
    </row>
    <row r="31" spans="1:26" s="47" customFormat="1" ht="12" x14ac:dyDescent="0.2">
      <c r="A31" s="264">
        <v>275</v>
      </c>
      <c r="B31" s="48" t="s">
        <v>261</v>
      </c>
      <c r="C31" s="49" t="s">
        <v>262</v>
      </c>
      <c r="D31" s="50">
        <v>43059</v>
      </c>
      <c r="E31" s="49" t="s">
        <v>118</v>
      </c>
      <c r="F31" s="49" t="s">
        <v>91</v>
      </c>
      <c r="G31" s="49" t="s">
        <v>118</v>
      </c>
      <c r="H31" s="49" t="s">
        <v>57</v>
      </c>
      <c r="I31" s="49" t="s">
        <v>263</v>
      </c>
      <c r="J31" s="49" t="s">
        <v>72</v>
      </c>
      <c r="K31" s="49" t="s">
        <v>57</v>
      </c>
      <c r="L31" s="49"/>
      <c r="M31" s="50"/>
      <c r="N31" s="49"/>
      <c r="O31" s="49"/>
      <c r="P31" s="50"/>
      <c r="Q31" s="52"/>
      <c r="R31" s="36"/>
      <c r="S31" s="47" t="s">
        <v>149</v>
      </c>
      <c r="T31" s="246">
        <v>1</v>
      </c>
      <c r="V31" s="47" t="s">
        <v>150</v>
      </c>
      <c r="W31" s="47" t="str">
        <f t="shared" si="0"/>
        <v/>
      </c>
      <c r="X31" s="47" t="s">
        <v>349</v>
      </c>
      <c r="Y31" s="47" t="s">
        <v>1833</v>
      </c>
      <c r="Z31" s="277"/>
    </row>
    <row r="32" spans="1:26" s="47" customFormat="1" ht="12" x14ac:dyDescent="0.2">
      <c r="A32" s="264">
        <v>147</v>
      </c>
      <c r="B32" s="48" t="s">
        <v>264</v>
      </c>
      <c r="C32" s="49" t="s">
        <v>265</v>
      </c>
      <c r="D32" s="50">
        <v>43066</v>
      </c>
      <c r="E32" s="49" t="s">
        <v>266</v>
      </c>
      <c r="F32" s="49" t="s">
        <v>91</v>
      </c>
      <c r="G32" s="49" t="s">
        <v>119</v>
      </c>
      <c r="H32" s="49" t="s">
        <v>59</v>
      </c>
      <c r="I32" s="49" t="s">
        <v>267</v>
      </c>
      <c r="J32" s="49" t="s">
        <v>268</v>
      </c>
      <c r="K32" s="49" t="s">
        <v>57</v>
      </c>
      <c r="L32" s="49"/>
      <c r="M32" s="50">
        <v>45537</v>
      </c>
      <c r="N32" s="49"/>
      <c r="O32" s="49"/>
      <c r="P32" s="50"/>
      <c r="Q32" s="52"/>
      <c r="R32" s="36"/>
      <c r="S32" s="47" t="s">
        <v>149</v>
      </c>
      <c r="T32" s="246">
        <v>1</v>
      </c>
      <c r="V32" s="47" t="s">
        <v>195</v>
      </c>
      <c r="W32" s="47" t="str">
        <f t="shared" si="0"/>
        <v/>
      </c>
      <c r="X32" s="47" t="s">
        <v>1833</v>
      </c>
      <c r="Y32" s="47" t="s">
        <v>1833</v>
      </c>
      <c r="Z32" s="277">
        <v>45901</v>
      </c>
    </row>
    <row r="33" spans="1:26" s="47" customFormat="1" ht="12" x14ac:dyDescent="0.2">
      <c r="A33" s="264">
        <v>290</v>
      </c>
      <c r="B33" s="48" t="s">
        <v>269</v>
      </c>
      <c r="C33" s="49" t="s">
        <v>270</v>
      </c>
      <c r="D33" s="50">
        <v>43196</v>
      </c>
      <c r="E33" s="49" t="s">
        <v>271</v>
      </c>
      <c r="F33" s="49" t="s">
        <v>70</v>
      </c>
      <c r="G33" s="49" t="s">
        <v>272</v>
      </c>
      <c r="H33" s="49" t="s">
        <v>56</v>
      </c>
      <c r="I33" s="49" t="s">
        <v>221</v>
      </c>
      <c r="J33" s="49" t="s">
        <v>272</v>
      </c>
      <c r="K33" s="49" t="s">
        <v>223</v>
      </c>
      <c r="L33" s="49"/>
      <c r="M33" s="50"/>
      <c r="N33" s="49"/>
      <c r="O33" s="49"/>
      <c r="P33" s="50"/>
      <c r="Q33" s="52"/>
      <c r="R33" s="36"/>
      <c r="S33" s="47" t="s">
        <v>149</v>
      </c>
      <c r="T33" s="246">
        <v>1</v>
      </c>
      <c r="V33" s="47" t="s">
        <v>195</v>
      </c>
      <c r="W33" s="47" t="str">
        <f t="shared" si="0"/>
        <v/>
      </c>
      <c r="X33" s="47" t="s">
        <v>1833</v>
      </c>
      <c r="Y33" s="47" t="s">
        <v>1833</v>
      </c>
      <c r="Z33" s="277">
        <v>45870</v>
      </c>
    </row>
    <row r="34" spans="1:26" s="47" customFormat="1" x14ac:dyDescent="0.2">
      <c r="A34" s="264">
        <v>57</v>
      </c>
      <c r="B34" s="17" t="s">
        <v>273</v>
      </c>
      <c r="C34" s="6" t="s">
        <v>168</v>
      </c>
      <c r="D34" s="7">
        <v>43220</v>
      </c>
      <c r="E34" s="49" t="s">
        <v>274</v>
      </c>
      <c r="F34" s="49" t="s">
        <v>75</v>
      </c>
      <c r="G34" s="49" t="s">
        <v>275</v>
      </c>
      <c r="H34" s="49" t="s">
        <v>62</v>
      </c>
      <c r="I34" s="49" t="s">
        <v>276</v>
      </c>
      <c r="J34" s="49" t="s">
        <v>277</v>
      </c>
      <c r="K34" s="49"/>
      <c r="L34" s="49"/>
      <c r="M34" s="50"/>
      <c r="N34" s="49"/>
      <c r="O34" s="49"/>
      <c r="P34" s="50"/>
      <c r="Q34" s="52"/>
      <c r="R34" s="36"/>
      <c r="S34" s="2" t="s">
        <v>213</v>
      </c>
      <c r="T34" s="244">
        <v>0.5</v>
      </c>
      <c r="U34" s="47" t="s">
        <v>278</v>
      </c>
      <c r="V34" s="47" t="s">
        <v>150</v>
      </c>
      <c r="W34" s="47" t="str">
        <f t="shared" si="0"/>
        <v/>
      </c>
      <c r="X34" s="47" t="s">
        <v>349</v>
      </c>
      <c r="Y34" s="47" t="s">
        <v>1833</v>
      </c>
      <c r="Z34" s="277"/>
    </row>
    <row r="35" spans="1:26" s="47" customFormat="1" ht="12" x14ac:dyDescent="0.2">
      <c r="A35" s="264">
        <v>277</v>
      </c>
      <c r="B35" s="48" t="s">
        <v>279</v>
      </c>
      <c r="C35" s="49" t="s">
        <v>236</v>
      </c>
      <c r="D35" s="50">
        <v>43313</v>
      </c>
      <c r="E35" s="49" t="s">
        <v>181</v>
      </c>
      <c r="F35" s="49" t="s">
        <v>70</v>
      </c>
      <c r="G35" s="49" t="s">
        <v>120</v>
      </c>
      <c r="H35" s="49" t="s">
        <v>46</v>
      </c>
      <c r="I35" s="49" t="s">
        <v>170</v>
      </c>
      <c r="J35" s="49" t="s">
        <v>158</v>
      </c>
      <c r="K35" s="49" t="s">
        <v>46</v>
      </c>
      <c r="L35" s="49"/>
      <c r="M35" s="50"/>
      <c r="N35" s="49"/>
      <c r="O35" s="49"/>
      <c r="P35" s="50"/>
      <c r="Q35" s="52"/>
      <c r="R35" s="36"/>
      <c r="S35" s="47" t="s">
        <v>149</v>
      </c>
      <c r="T35" s="246">
        <v>1</v>
      </c>
      <c r="V35" s="47" t="s">
        <v>150</v>
      </c>
      <c r="W35" s="47" t="str">
        <f t="shared" si="0"/>
        <v/>
      </c>
      <c r="X35" s="47" t="s">
        <v>349</v>
      </c>
      <c r="Y35" s="47" t="s">
        <v>349</v>
      </c>
      <c r="Z35" s="277">
        <v>45992</v>
      </c>
    </row>
    <row r="36" spans="1:26" s="47" customFormat="1" ht="12" x14ac:dyDescent="0.2">
      <c r="A36" s="264">
        <v>294</v>
      </c>
      <c r="B36" s="48" t="s">
        <v>280</v>
      </c>
      <c r="C36" s="49" t="s">
        <v>165</v>
      </c>
      <c r="D36" s="50">
        <v>43339</v>
      </c>
      <c r="E36" s="49" t="s">
        <v>281</v>
      </c>
      <c r="F36" s="49" t="s">
        <v>70</v>
      </c>
      <c r="G36" s="49" t="s">
        <v>282</v>
      </c>
      <c r="H36" s="49" t="s">
        <v>106</v>
      </c>
      <c r="I36" s="100" t="s">
        <v>283</v>
      </c>
      <c r="J36" s="49" t="s">
        <v>284</v>
      </c>
      <c r="K36" s="49" t="s">
        <v>46</v>
      </c>
      <c r="L36" s="49"/>
      <c r="M36" s="50"/>
      <c r="N36" s="49"/>
      <c r="O36" s="49"/>
      <c r="P36" s="50"/>
      <c r="Q36" s="52"/>
      <c r="R36" s="36"/>
      <c r="S36" s="47" t="s">
        <v>149</v>
      </c>
      <c r="T36" s="246">
        <v>1</v>
      </c>
      <c r="V36" s="47" t="s">
        <v>150</v>
      </c>
      <c r="W36" s="47" t="str">
        <f t="shared" si="0"/>
        <v/>
      </c>
      <c r="X36" s="47" t="s">
        <v>349</v>
      </c>
      <c r="Y36" s="47" t="s">
        <v>349</v>
      </c>
      <c r="Z36" s="277">
        <v>45992</v>
      </c>
    </row>
    <row r="37" spans="1:26" s="47" customFormat="1" ht="12" x14ac:dyDescent="0.2">
      <c r="A37" s="264">
        <v>316</v>
      </c>
      <c r="B37" s="48" t="s">
        <v>285</v>
      </c>
      <c r="C37" s="49" t="s">
        <v>286</v>
      </c>
      <c r="D37" s="50">
        <v>43472</v>
      </c>
      <c r="E37" s="49" t="s">
        <v>287</v>
      </c>
      <c r="F37" s="49" t="s">
        <v>70</v>
      </c>
      <c r="G37" s="49" t="s">
        <v>272</v>
      </c>
      <c r="H37" s="49" t="s">
        <v>56</v>
      </c>
      <c r="I37" s="49" t="s">
        <v>288</v>
      </c>
      <c r="J37" s="49" t="s">
        <v>272</v>
      </c>
      <c r="K37" s="49" t="s">
        <v>223</v>
      </c>
      <c r="L37" s="49"/>
      <c r="M37" s="50"/>
      <c r="N37" s="49"/>
      <c r="O37" s="49"/>
      <c r="P37" s="50"/>
      <c r="Q37" s="52"/>
      <c r="R37" s="36"/>
      <c r="S37" s="47" t="s">
        <v>213</v>
      </c>
      <c r="T37" s="246">
        <v>0.7</v>
      </c>
      <c r="V37" s="47" t="s">
        <v>195</v>
      </c>
      <c r="W37" s="47" t="str">
        <f t="shared" si="0"/>
        <v/>
      </c>
      <c r="X37" s="47" t="s">
        <v>1833</v>
      </c>
      <c r="Y37" s="47" t="s">
        <v>1833</v>
      </c>
      <c r="Z37" s="277">
        <v>45870</v>
      </c>
    </row>
    <row r="38" spans="1:26" s="47" customFormat="1" ht="12" x14ac:dyDescent="0.2">
      <c r="A38" s="264">
        <v>308</v>
      </c>
      <c r="B38" s="48" t="s">
        <v>289</v>
      </c>
      <c r="C38" s="49" t="s">
        <v>290</v>
      </c>
      <c r="D38" s="50">
        <v>43584</v>
      </c>
      <c r="E38" s="49" t="s">
        <v>291</v>
      </c>
      <c r="F38" s="49" t="s">
        <v>70</v>
      </c>
      <c r="G38" s="49" t="s">
        <v>292</v>
      </c>
      <c r="H38" s="49" t="s">
        <v>46</v>
      </c>
      <c r="I38" s="49" t="s">
        <v>293</v>
      </c>
      <c r="J38" s="49" t="s">
        <v>294</v>
      </c>
      <c r="K38" s="49" t="s">
        <v>46</v>
      </c>
      <c r="L38" s="49"/>
      <c r="M38" s="50"/>
      <c r="N38" s="49"/>
      <c r="O38" s="49"/>
      <c r="P38" s="50"/>
      <c r="Q38" s="52"/>
      <c r="R38" s="138">
        <v>45835</v>
      </c>
      <c r="S38" s="47" t="s">
        <v>149</v>
      </c>
      <c r="T38" s="246">
        <v>1</v>
      </c>
      <c r="V38" s="47" t="s">
        <v>150</v>
      </c>
      <c r="W38" s="47" t="str">
        <f t="shared" si="0"/>
        <v/>
      </c>
      <c r="X38" s="47" t="s">
        <v>349</v>
      </c>
      <c r="Y38" s="47" t="s">
        <v>349</v>
      </c>
      <c r="Z38" s="277">
        <v>45992</v>
      </c>
    </row>
    <row r="39" spans="1:26" s="47" customFormat="1" ht="12" hidden="1" x14ac:dyDescent="0.2">
      <c r="A39" s="264">
        <v>306</v>
      </c>
      <c r="B39" s="48" t="s">
        <v>196</v>
      </c>
      <c r="C39" s="49" t="s">
        <v>295</v>
      </c>
      <c r="D39" s="50">
        <v>43598</v>
      </c>
      <c r="E39" s="49" t="s">
        <v>237</v>
      </c>
      <c r="F39" s="49" t="s">
        <v>70</v>
      </c>
      <c r="G39" s="49" t="s">
        <v>296</v>
      </c>
      <c r="H39" s="49" t="s">
        <v>59</v>
      </c>
      <c r="I39" s="49" t="s">
        <v>194</v>
      </c>
      <c r="J39" s="49" t="s">
        <v>297</v>
      </c>
      <c r="K39" s="49" t="s">
        <v>59</v>
      </c>
      <c r="L39" s="49"/>
      <c r="M39" s="50"/>
      <c r="N39" s="49"/>
      <c r="O39" s="49"/>
      <c r="P39" s="50"/>
      <c r="Q39" s="52" t="s">
        <v>298</v>
      </c>
      <c r="R39" s="138">
        <v>45674</v>
      </c>
      <c r="S39" s="47" t="s">
        <v>149</v>
      </c>
      <c r="T39" s="246">
        <v>1</v>
      </c>
      <c r="V39" s="47" t="s">
        <v>195</v>
      </c>
      <c r="W39" s="47" t="str">
        <f t="shared" si="0"/>
        <v/>
      </c>
      <c r="X39" s="47" t="s">
        <v>349</v>
      </c>
      <c r="Y39" s="47" t="s">
        <v>1833</v>
      </c>
      <c r="Z39" s="277"/>
    </row>
    <row r="40" spans="1:26" s="47" customFormat="1" ht="12" x14ac:dyDescent="0.2">
      <c r="A40" s="264">
        <v>311</v>
      </c>
      <c r="B40" s="48" t="s">
        <v>299</v>
      </c>
      <c r="C40" s="49" t="s">
        <v>300</v>
      </c>
      <c r="D40" s="50">
        <v>43605</v>
      </c>
      <c r="E40" s="49" t="s">
        <v>301</v>
      </c>
      <c r="F40" s="49" t="s">
        <v>70</v>
      </c>
      <c r="G40" s="49" t="s">
        <v>55</v>
      </c>
      <c r="H40" s="49" t="s">
        <v>59</v>
      </c>
      <c r="I40" s="49" t="s">
        <v>267</v>
      </c>
      <c r="J40" s="49" t="s">
        <v>302</v>
      </c>
      <c r="K40" s="49" t="s">
        <v>59</v>
      </c>
      <c r="L40" s="49"/>
      <c r="M40" s="50"/>
      <c r="N40" s="49"/>
      <c r="O40" s="49"/>
      <c r="P40" s="50"/>
      <c r="Q40" s="52"/>
      <c r="R40" s="36"/>
      <c r="S40" s="47" t="s">
        <v>149</v>
      </c>
      <c r="T40" s="246">
        <v>1</v>
      </c>
      <c r="V40" s="47" t="s">
        <v>150</v>
      </c>
      <c r="W40" s="47" t="str">
        <f t="shared" si="0"/>
        <v/>
      </c>
      <c r="X40" s="47" t="s">
        <v>1833</v>
      </c>
      <c r="Y40" s="47" t="s">
        <v>1833</v>
      </c>
      <c r="Z40" s="277">
        <v>45901</v>
      </c>
    </row>
    <row r="41" spans="1:26" s="47" customFormat="1" ht="12" hidden="1" x14ac:dyDescent="0.2">
      <c r="A41" s="264">
        <v>315</v>
      </c>
      <c r="B41" s="48" t="s">
        <v>303</v>
      </c>
      <c r="C41" s="49" t="s">
        <v>304</v>
      </c>
      <c r="D41" s="50">
        <v>43633</v>
      </c>
      <c r="E41" s="49" t="s">
        <v>305</v>
      </c>
      <c r="F41" s="49" t="s">
        <v>70</v>
      </c>
      <c r="G41" s="49" t="s">
        <v>272</v>
      </c>
      <c r="H41" s="49" t="s">
        <v>56</v>
      </c>
      <c r="I41" s="49" t="s">
        <v>288</v>
      </c>
      <c r="J41" s="49" t="s">
        <v>272</v>
      </c>
      <c r="K41" s="49" t="s">
        <v>223</v>
      </c>
      <c r="L41" s="49"/>
      <c r="M41" s="50"/>
      <c r="N41" s="49"/>
      <c r="O41" s="49"/>
      <c r="P41" s="50"/>
      <c r="Q41" s="52"/>
      <c r="R41" s="138">
        <v>45680</v>
      </c>
      <c r="S41" s="47" t="s">
        <v>149</v>
      </c>
      <c r="T41" s="246">
        <v>1</v>
      </c>
      <c r="V41" s="47" t="s">
        <v>195</v>
      </c>
      <c r="W41" s="47" t="str">
        <f t="shared" si="0"/>
        <v/>
      </c>
      <c r="X41" s="47" t="s">
        <v>349</v>
      </c>
      <c r="Y41" s="47" t="s">
        <v>1833</v>
      </c>
      <c r="Z41" s="277"/>
    </row>
    <row r="42" spans="1:26" s="47" customFormat="1" ht="12" x14ac:dyDescent="0.2">
      <c r="A42" s="264">
        <v>320</v>
      </c>
      <c r="B42" s="48" t="s">
        <v>306</v>
      </c>
      <c r="C42" s="49" t="s">
        <v>307</v>
      </c>
      <c r="D42" s="50">
        <v>43675</v>
      </c>
      <c r="E42" s="49" t="s">
        <v>181</v>
      </c>
      <c r="F42" s="49" t="s">
        <v>70</v>
      </c>
      <c r="G42" s="49" t="s">
        <v>120</v>
      </c>
      <c r="H42" s="49" t="s">
        <v>57</v>
      </c>
      <c r="I42" s="49" t="s">
        <v>162</v>
      </c>
      <c r="J42" s="49" t="s">
        <v>72</v>
      </c>
      <c r="K42" s="49" t="s">
        <v>57</v>
      </c>
      <c r="L42" s="49"/>
      <c r="M42" s="50"/>
      <c r="N42" s="49"/>
      <c r="O42" s="49"/>
      <c r="P42" s="50"/>
      <c r="Q42" s="52"/>
      <c r="R42" s="36"/>
      <c r="S42" s="47" t="s">
        <v>149</v>
      </c>
      <c r="T42" s="246">
        <v>1</v>
      </c>
      <c r="V42" s="47" t="s">
        <v>150</v>
      </c>
      <c r="W42" s="47" t="str">
        <f t="shared" si="0"/>
        <v/>
      </c>
      <c r="X42" s="47" t="s">
        <v>349</v>
      </c>
      <c r="Y42" s="47" t="s">
        <v>1833</v>
      </c>
      <c r="Z42" s="277"/>
    </row>
    <row r="43" spans="1:26" s="47" customFormat="1" ht="12" x14ac:dyDescent="0.2">
      <c r="A43" s="264">
        <v>333</v>
      </c>
      <c r="B43" s="53" t="s">
        <v>308</v>
      </c>
      <c r="C43" s="54" t="s">
        <v>165</v>
      </c>
      <c r="D43" s="50">
        <v>43767</v>
      </c>
      <c r="E43" s="49" t="s">
        <v>181</v>
      </c>
      <c r="F43" s="49" t="s">
        <v>70</v>
      </c>
      <c r="G43" s="49" t="s">
        <v>120</v>
      </c>
      <c r="H43" s="49" t="s">
        <v>59</v>
      </c>
      <c r="I43" s="49" t="s">
        <v>309</v>
      </c>
      <c r="J43" s="49" t="s">
        <v>297</v>
      </c>
      <c r="K43" s="49" t="s">
        <v>59</v>
      </c>
      <c r="L43" s="49"/>
      <c r="M43" s="50"/>
      <c r="N43" s="49"/>
      <c r="O43" s="49" t="s">
        <v>310</v>
      </c>
      <c r="P43" s="50">
        <v>45467</v>
      </c>
      <c r="Q43" s="52"/>
      <c r="R43" s="36"/>
      <c r="S43" s="47" t="s">
        <v>149</v>
      </c>
      <c r="T43" s="246">
        <v>1</v>
      </c>
      <c r="V43" s="47" t="s">
        <v>150</v>
      </c>
      <c r="W43" s="47" t="str">
        <f t="shared" si="0"/>
        <v/>
      </c>
      <c r="X43" s="47" t="s">
        <v>349</v>
      </c>
      <c r="Y43" s="47" t="s">
        <v>349</v>
      </c>
      <c r="Z43" s="277">
        <v>45901</v>
      </c>
    </row>
    <row r="44" spans="1:26" s="47" customFormat="1" ht="12" x14ac:dyDescent="0.2">
      <c r="A44" s="264">
        <v>342</v>
      </c>
      <c r="B44" s="48" t="s">
        <v>311</v>
      </c>
      <c r="C44" s="49" t="s">
        <v>312</v>
      </c>
      <c r="D44" s="50">
        <v>43784</v>
      </c>
      <c r="E44" s="49" t="s">
        <v>313</v>
      </c>
      <c r="F44" s="49" t="s">
        <v>70</v>
      </c>
      <c r="G44" s="49" t="s">
        <v>120</v>
      </c>
      <c r="H44" s="49" t="s">
        <v>61</v>
      </c>
      <c r="I44" s="49" t="s">
        <v>314</v>
      </c>
      <c r="J44" s="49" t="s">
        <v>249</v>
      </c>
      <c r="K44" s="49" t="s">
        <v>57</v>
      </c>
      <c r="L44" s="49" t="s">
        <v>61</v>
      </c>
      <c r="M44" s="50">
        <v>45551</v>
      </c>
      <c r="N44" s="49"/>
      <c r="O44" s="49" t="s">
        <v>315</v>
      </c>
      <c r="P44" s="50"/>
      <c r="Q44" s="52"/>
      <c r="R44" s="138">
        <v>45905</v>
      </c>
      <c r="S44" s="47" t="s">
        <v>149</v>
      </c>
      <c r="T44" s="246">
        <v>1</v>
      </c>
      <c r="V44" s="47" t="s">
        <v>150</v>
      </c>
      <c r="W44" s="47" t="str">
        <f t="shared" si="0"/>
        <v/>
      </c>
      <c r="X44" s="47" t="s">
        <v>349</v>
      </c>
      <c r="Y44" s="47" t="s">
        <v>1833</v>
      </c>
      <c r="Z44" s="277"/>
    </row>
    <row r="45" spans="1:26" s="47" customFormat="1" ht="12" x14ac:dyDescent="0.2">
      <c r="A45" s="264">
        <v>344</v>
      </c>
      <c r="B45" s="48" t="s">
        <v>316</v>
      </c>
      <c r="C45" s="49" t="s">
        <v>317</v>
      </c>
      <c r="D45" s="50">
        <v>43861</v>
      </c>
      <c r="E45" s="49" t="s">
        <v>318</v>
      </c>
      <c r="F45" s="49" t="s">
        <v>70</v>
      </c>
      <c r="G45" s="49" t="s">
        <v>122</v>
      </c>
      <c r="H45" s="49" t="s">
        <v>46</v>
      </c>
      <c r="I45" s="49" t="s">
        <v>207</v>
      </c>
      <c r="J45" s="49" t="s">
        <v>158</v>
      </c>
      <c r="K45" s="49" t="s">
        <v>46</v>
      </c>
      <c r="L45" s="49"/>
      <c r="M45" s="50"/>
      <c r="N45" s="49"/>
      <c r="O45" s="49"/>
      <c r="P45" s="50"/>
      <c r="Q45" s="52"/>
      <c r="R45" s="36"/>
      <c r="S45" s="47" t="s">
        <v>213</v>
      </c>
      <c r="T45" s="246">
        <v>0.8</v>
      </c>
      <c r="V45" s="47" t="s">
        <v>195</v>
      </c>
      <c r="W45" s="47" t="str">
        <f t="shared" si="0"/>
        <v/>
      </c>
      <c r="X45" s="47" t="s">
        <v>349</v>
      </c>
      <c r="Y45" s="47" t="s">
        <v>349</v>
      </c>
      <c r="Z45" s="277">
        <v>45992</v>
      </c>
    </row>
    <row r="46" spans="1:26" s="47" customFormat="1" ht="12" x14ac:dyDescent="0.2">
      <c r="A46" s="264">
        <v>348</v>
      </c>
      <c r="B46" s="48" t="s">
        <v>319</v>
      </c>
      <c r="C46" s="49" t="s">
        <v>320</v>
      </c>
      <c r="D46" s="50">
        <v>43892</v>
      </c>
      <c r="E46" s="49" t="s">
        <v>321</v>
      </c>
      <c r="F46" s="49" t="s">
        <v>70</v>
      </c>
      <c r="G46" s="49" t="s">
        <v>322</v>
      </c>
      <c r="H46" s="49" t="s">
        <v>46</v>
      </c>
      <c r="I46" s="49" t="s">
        <v>187</v>
      </c>
      <c r="J46" s="49" t="s">
        <v>158</v>
      </c>
      <c r="K46" s="49" t="s">
        <v>46</v>
      </c>
      <c r="L46" s="49"/>
      <c r="M46" s="50"/>
      <c r="N46" s="49"/>
      <c r="O46" s="49"/>
      <c r="P46" s="50"/>
      <c r="Q46" s="52"/>
      <c r="R46" s="138">
        <v>45842</v>
      </c>
      <c r="S46" s="47" t="s">
        <v>149</v>
      </c>
      <c r="T46" s="246">
        <v>1</v>
      </c>
      <c r="V46" s="47" t="s">
        <v>150</v>
      </c>
      <c r="W46" s="47" t="str">
        <f t="shared" si="0"/>
        <v/>
      </c>
      <c r="X46" s="47" t="s">
        <v>349</v>
      </c>
      <c r="Y46" s="47" t="s">
        <v>349</v>
      </c>
      <c r="Z46" s="277">
        <v>45992</v>
      </c>
    </row>
    <row r="47" spans="1:26" s="47" customFormat="1" ht="12" x14ac:dyDescent="0.2">
      <c r="A47" s="264">
        <v>352</v>
      </c>
      <c r="B47" s="48" t="s">
        <v>323</v>
      </c>
      <c r="C47" s="49" t="s">
        <v>324</v>
      </c>
      <c r="D47" s="50">
        <v>43913</v>
      </c>
      <c r="E47" s="49" t="s">
        <v>325</v>
      </c>
      <c r="F47" s="49" t="s">
        <v>70</v>
      </c>
      <c r="G47" s="49" t="s">
        <v>322</v>
      </c>
      <c r="H47" s="49" t="s">
        <v>46</v>
      </c>
      <c r="I47" s="49" t="s">
        <v>187</v>
      </c>
      <c r="J47" s="49" t="s">
        <v>158</v>
      </c>
      <c r="K47" s="49" t="s">
        <v>46</v>
      </c>
      <c r="L47" s="49"/>
      <c r="M47" s="50"/>
      <c r="N47" s="49"/>
      <c r="O47" s="49"/>
      <c r="P47" s="50"/>
      <c r="Q47" s="52"/>
      <c r="R47" s="260">
        <v>45907</v>
      </c>
      <c r="S47" s="47" t="s">
        <v>213</v>
      </c>
      <c r="T47" s="246">
        <v>0.8</v>
      </c>
      <c r="V47" s="47" t="s">
        <v>195</v>
      </c>
      <c r="W47" s="47" t="str">
        <f t="shared" si="0"/>
        <v/>
      </c>
      <c r="X47" s="47" t="s">
        <v>349</v>
      </c>
      <c r="Y47" s="47" t="s">
        <v>349</v>
      </c>
      <c r="Z47" s="277">
        <v>45992</v>
      </c>
    </row>
    <row r="48" spans="1:26" s="47" customFormat="1" ht="12" x14ac:dyDescent="0.2">
      <c r="A48" s="264">
        <v>359</v>
      </c>
      <c r="B48" s="48" t="s">
        <v>326</v>
      </c>
      <c r="C48" s="49" t="s">
        <v>327</v>
      </c>
      <c r="D48" s="50">
        <v>44006</v>
      </c>
      <c r="E48" s="49" t="s">
        <v>328</v>
      </c>
      <c r="F48" s="49" t="s">
        <v>70</v>
      </c>
      <c r="G48" s="49" t="s">
        <v>55</v>
      </c>
      <c r="H48" s="49" t="s">
        <v>55</v>
      </c>
      <c r="I48" s="49" t="s">
        <v>329</v>
      </c>
      <c r="J48" s="49" t="s">
        <v>55</v>
      </c>
      <c r="K48" s="49" t="s">
        <v>55</v>
      </c>
      <c r="L48" s="49"/>
      <c r="M48" s="50"/>
      <c r="N48" s="49"/>
      <c r="O48" s="49"/>
      <c r="P48" s="50"/>
      <c r="Q48" s="52" t="s">
        <v>330</v>
      </c>
      <c r="R48" s="36"/>
      <c r="S48" s="47" t="s">
        <v>213</v>
      </c>
      <c r="T48" s="246">
        <v>0.8</v>
      </c>
      <c r="V48" s="47" t="s">
        <v>150</v>
      </c>
      <c r="W48" s="47" t="str">
        <f t="shared" si="0"/>
        <v/>
      </c>
      <c r="X48" s="47" t="s">
        <v>1833</v>
      </c>
      <c r="Y48" s="47" t="s">
        <v>1833</v>
      </c>
      <c r="Z48" s="277">
        <v>45931</v>
      </c>
    </row>
    <row r="49" spans="1:26" s="47" customFormat="1" ht="12" x14ac:dyDescent="0.2">
      <c r="A49" s="264">
        <v>360</v>
      </c>
      <c r="B49" s="48" t="s">
        <v>331</v>
      </c>
      <c r="C49" s="49" t="s">
        <v>332</v>
      </c>
      <c r="D49" s="50">
        <v>44027</v>
      </c>
      <c r="E49" s="49" t="s">
        <v>333</v>
      </c>
      <c r="F49" s="49" t="s">
        <v>70</v>
      </c>
      <c r="G49" s="49" t="s">
        <v>55</v>
      </c>
      <c r="H49" s="49" t="s">
        <v>55</v>
      </c>
      <c r="I49" s="49" t="s">
        <v>334</v>
      </c>
      <c r="J49" s="49" t="s">
        <v>55</v>
      </c>
      <c r="K49" s="49" t="s">
        <v>55</v>
      </c>
      <c r="L49" s="49"/>
      <c r="M49" s="50"/>
      <c r="N49" s="49"/>
      <c r="O49" s="49"/>
      <c r="P49" s="50"/>
      <c r="Q49" s="52"/>
      <c r="R49" s="36"/>
      <c r="S49" s="47" t="s">
        <v>149</v>
      </c>
      <c r="T49" s="246">
        <v>1</v>
      </c>
      <c r="V49" s="47" t="s">
        <v>195</v>
      </c>
      <c r="W49" s="47" t="str">
        <f t="shared" si="0"/>
        <v/>
      </c>
      <c r="X49" s="47" t="s">
        <v>1833</v>
      </c>
      <c r="Y49" s="47" t="s">
        <v>1833</v>
      </c>
      <c r="Z49" s="277">
        <v>45931</v>
      </c>
    </row>
    <row r="50" spans="1:26" s="47" customFormat="1" ht="12" x14ac:dyDescent="0.2">
      <c r="A50" s="264">
        <v>361</v>
      </c>
      <c r="B50" s="48" t="s">
        <v>335</v>
      </c>
      <c r="C50" s="48" t="s">
        <v>336</v>
      </c>
      <c r="D50" s="50">
        <v>44032</v>
      </c>
      <c r="E50" s="49" t="s">
        <v>337</v>
      </c>
      <c r="F50" s="49" t="s">
        <v>70</v>
      </c>
      <c r="G50" s="49" t="s">
        <v>338</v>
      </c>
      <c r="H50" s="49" t="s">
        <v>56</v>
      </c>
      <c r="I50" s="49" t="s">
        <v>288</v>
      </c>
      <c r="J50" s="49" t="s">
        <v>272</v>
      </c>
      <c r="K50" s="49" t="s">
        <v>223</v>
      </c>
      <c r="L50" s="49"/>
      <c r="M50" s="50"/>
      <c r="N50" s="49"/>
      <c r="O50" s="49"/>
      <c r="P50" s="50"/>
      <c r="Q50" s="52"/>
      <c r="R50" s="36"/>
      <c r="S50" s="47" t="s">
        <v>149</v>
      </c>
      <c r="T50" s="246">
        <v>1</v>
      </c>
      <c r="V50" s="47" t="s">
        <v>195</v>
      </c>
      <c r="W50" s="47" t="str">
        <f t="shared" si="0"/>
        <v/>
      </c>
      <c r="X50" s="47" t="s">
        <v>1833</v>
      </c>
      <c r="Y50" s="47" t="s">
        <v>1833</v>
      </c>
      <c r="Z50" s="277">
        <v>45870</v>
      </c>
    </row>
    <row r="51" spans="1:26" s="47" customFormat="1" ht="12" hidden="1" x14ac:dyDescent="0.2">
      <c r="A51" s="264">
        <v>367</v>
      </c>
      <c r="B51" s="48" t="s">
        <v>339</v>
      </c>
      <c r="C51" s="49" t="s">
        <v>340</v>
      </c>
      <c r="D51" s="50">
        <v>44075</v>
      </c>
      <c r="E51" s="49" t="s">
        <v>341</v>
      </c>
      <c r="F51" s="49" t="s">
        <v>73</v>
      </c>
      <c r="G51" s="49" t="s">
        <v>342</v>
      </c>
      <c r="H51" s="49" t="s">
        <v>61</v>
      </c>
      <c r="I51" s="49" t="s">
        <v>174</v>
      </c>
      <c r="J51" s="49"/>
      <c r="K51" s="49" t="s">
        <v>61</v>
      </c>
      <c r="L51" s="49"/>
      <c r="M51" s="50"/>
      <c r="N51" s="49"/>
      <c r="O51" s="49" t="s">
        <v>343</v>
      </c>
      <c r="P51" s="50"/>
      <c r="Q51" s="52"/>
      <c r="R51" s="138">
        <v>45558</v>
      </c>
      <c r="T51" s="246">
        <v>1</v>
      </c>
      <c r="V51" s="47" t="s">
        <v>150</v>
      </c>
      <c r="W51" s="47" t="str">
        <f t="shared" si="0"/>
        <v/>
      </c>
      <c r="X51" s="47" t="s">
        <v>349</v>
      </c>
      <c r="Y51" s="47" t="s">
        <v>1833</v>
      </c>
      <c r="Z51" s="277"/>
    </row>
    <row r="52" spans="1:26" s="47" customFormat="1" ht="12" hidden="1" x14ac:dyDescent="0.2">
      <c r="A52" s="264">
        <v>362</v>
      </c>
      <c r="B52" s="48" t="s">
        <v>344</v>
      </c>
      <c r="C52" s="49" t="s">
        <v>345</v>
      </c>
      <c r="D52" s="50">
        <v>44075</v>
      </c>
      <c r="E52" s="49" t="s">
        <v>346</v>
      </c>
      <c r="F52" s="49" t="s">
        <v>70</v>
      </c>
      <c r="G52" s="49" t="s">
        <v>347</v>
      </c>
      <c r="H52" s="49" t="s">
        <v>59</v>
      </c>
      <c r="I52" s="49" t="s">
        <v>194</v>
      </c>
      <c r="J52" s="49"/>
      <c r="K52" s="49" t="s">
        <v>59</v>
      </c>
      <c r="L52" s="49"/>
      <c r="M52" s="50"/>
      <c r="N52" s="49"/>
      <c r="O52" s="49"/>
      <c r="P52" s="50"/>
      <c r="Q52" s="52" t="s">
        <v>348</v>
      </c>
      <c r="R52" s="138">
        <v>45555</v>
      </c>
      <c r="T52" s="246">
        <v>1</v>
      </c>
      <c r="U52" s="47" t="s">
        <v>349</v>
      </c>
      <c r="V52" s="47" t="s">
        <v>195</v>
      </c>
      <c r="W52" s="47" t="str">
        <f t="shared" si="0"/>
        <v/>
      </c>
      <c r="X52" s="47" t="s">
        <v>349</v>
      </c>
      <c r="Y52" s="47" t="s">
        <v>1833</v>
      </c>
      <c r="Z52" s="277"/>
    </row>
    <row r="53" spans="1:26" s="47" customFormat="1" ht="12" hidden="1" x14ac:dyDescent="0.2">
      <c r="A53" s="264">
        <v>457</v>
      </c>
      <c r="B53" s="48" t="s">
        <v>350</v>
      </c>
      <c r="C53" s="49" t="s">
        <v>351</v>
      </c>
      <c r="D53" s="50">
        <v>44207</v>
      </c>
      <c r="E53" s="49" t="s">
        <v>352</v>
      </c>
      <c r="F53" s="49" t="s">
        <v>70</v>
      </c>
      <c r="G53" s="49" t="s">
        <v>227</v>
      </c>
      <c r="H53" s="49" t="s">
        <v>56</v>
      </c>
      <c r="I53" s="49" t="s">
        <v>353</v>
      </c>
      <c r="J53" s="49"/>
      <c r="K53" s="49" t="s">
        <v>223</v>
      </c>
      <c r="L53" s="49"/>
      <c r="M53" s="50"/>
      <c r="N53" s="49"/>
      <c r="O53" s="49"/>
      <c r="P53" s="50"/>
      <c r="Q53" s="52"/>
      <c r="R53" s="139">
        <v>45546</v>
      </c>
      <c r="T53" s="246">
        <v>1</v>
      </c>
      <c r="V53" s="47" t="s">
        <v>195</v>
      </c>
      <c r="W53" s="47" t="str">
        <f t="shared" si="0"/>
        <v/>
      </c>
      <c r="X53" s="47" t="s">
        <v>349</v>
      </c>
      <c r="Y53" s="47" t="s">
        <v>1833</v>
      </c>
      <c r="Z53" s="277"/>
    </row>
    <row r="54" spans="1:26" s="47" customFormat="1" ht="12" x14ac:dyDescent="0.2">
      <c r="A54" s="264">
        <v>434</v>
      </c>
      <c r="B54" s="48" t="s">
        <v>354</v>
      </c>
      <c r="C54" s="49" t="s">
        <v>355</v>
      </c>
      <c r="D54" s="50">
        <v>44234</v>
      </c>
      <c r="E54" s="49" t="s">
        <v>356</v>
      </c>
      <c r="F54" s="49" t="s">
        <v>70</v>
      </c>
      <c r="G54" s="49" t="s">
        <v>282</v>
      </c>
      <c r="H54" s="49" t="s">
        <v>106</v>
      </c>
      <c r="I54" s="49" t="s">
        <v>357</v>
      </c>
      <c r="J54" s="49" t="s">
        <v>284</v>
      </c>
      <c r="K54" s="49" t="s">
        <v>46</v>
      </c>
      <c r="L54" s="49"/>
      <c r="M54" s="50"/>
      <c r="N54" s="49"/>
      <c r="O54" s="49"/>
      <c r="P54" s="50"/>
      <c r="Q54" s="52"/>
      <c r="R54" s="36"/>
      <c r="S54" s="47" t="s">
        <v>149</v>
      </c>
      <c r="T54" s="246">
        <v>1</v>
      </c>
      <c r="V54" s="47" t="s">
        <v>150</v>
      </c>
      <c r="W54" s="47" t="str">
        <f t="shared" si="0"/>
        <v/>
      </c>
      <c r="X54" s="47" t="s">
        <v>349</v>
      </c>
      <c r="Y54" s="47" t="s">
        <v>349</v>
      </c>
      <c r="Z54" s="277">
        <v>45992</v>
      </c>
    </row>
    <row r="55" spans="1:26" s="47" customFormat="1" ht="12" x14ac:dyDescent="0.2">
      <c r="A55" s="264">
        <v>395</v>
      </c>
      <c r="B55" s="48" t="s">
        <v>358</v>
      </c>
      <c r="C55" s="49" t="s">
        <v>359</v>
      </c>
      <c r="D55" s="50">
        <v>44249</v>
      </c>
      <c r="E55" s="49" t="s">
        <v>169</v>
      </c>
      <c r="F55" s="49" t="s">
        <v>75</v>
      </c>
      <c r="G55" s="49" t="s">
        <v>120</v>
      </c>
      <c r="H55" s="49" t="s">
        <v>46</v>
      </c>
      <c r="I55" s="49" t="s">
        <v>170</v>
      </c>
      <c r="J55" s="49" t="s">
        <v>158</v>
      </c>
      <c r="K55" s="49" t="s">
        <v>46</v>
      </c>
      <c r="L55" s="49"/>
      <c r="M55" s="50"/>
      <c r="N55" s="49"/>
      <c r="O55" s="49"/>
      <c r="P55" s="50"/>
      <c r="Q55" s="52"/>
      <c r="R55" s="36"/>
      <c r="S55" s="47" t="s">
        <v>149</v>
      </c>
      <c r="T55" s="246">
        <v>1</v>
      </c>
      <c r="V55" s="47" t="s">
        <v>195</v>
      </c>
      <c r="W55" s="47" t="str">
        <f t="shared" si="0"/>
        <v/>
      </c>
      <c r="X55" s="47" t="s">
        <v>349</v>
      </c>
      <c r="Y55" s="47" t="s">
        <v>349</v>
      </c>
      <c r="Z55" s="277">
        <v>45992</v>
      </c>
    </row>
    <row r="56" spans="1:26" s="47" customFormat="1" ht="12" x14ac:dyDescent="0.2">
      <c r="A56" s="264">
        <v>398</v>
      </c>
      <c r="B56" s="48" t="s">
        <v>335</v>
      </c>
      <c r="C56" s="49" t="s">
        <v>360</v>
      </c>
      <c r="D56" s="50">
        <v>44270</v>
      </c>
      <c r="E56" s="49" t="s">
        <v>361</v>
      </c>
      <c r="F56" s="49" t="s">
        <v>70</v>
      </c>
      <c r="G56" s="49" t="s">
        <v>122</v>
      </c>
      <c r="H56" s="49" t="s">
        <v>46</v>
      </c>
      <c r="I56" s="49" t="s">
        <v>207</v>
      </c>
      <c r="J56" s="49" t="s">
        <v>158</v>
      </c>
      <c r="K56" s="49" t="s">
        <v>46</v>
      </c>
      <c r="L56" s="49"/>
      <c r="M56" s="50"/>
      <c r="N56" s="49"/>
      <c r="O56" s="49"/>
      <c r="P56" s="50"/>
      <c r="Q56" s="52"/>
      <c r="R56" s="36"/>
      <c r="S56" s="47" t="s">
        <v>149</v>
      </c>
      <c r="T56" s="246">
        <v>1</v>
      </c>
      <c r="V56" s="47" t="s">
        <v>150</v>
      </c>
      <c r="W56" s="47" t="str">
        <f t="shared" si="0"/>
        <v/>
      </c>
      <c r="X56" s="47" t="s">
        <v>349</v>
      </c>
      <c r="Y56" s="47" t="s">
        <v>349</v>
      </c>
      <c r="Z56" s="277">
        <v>45992</v>
      </c>
    </row>
    <row r="57" spans="1:26" s="47" customFormat="1" ht="12" x14ac:dyDescent="0.2">
      <c r="A57" s="264">
        <v>405</v>
      </c>
      <c r="B57" s="48" t="s">
        <v>362</v>
      </c>
      <c r="C57" s="49" t="s">
        <v>363</v>
      </c>
      <c r="D57" s="50">
        <v>44299</v>
      </c>
      <c r="E57" s="49" t="s">
        <v>364</v>
      </c>
      <c r="F57" s="49" t="s">
        <v>70</v>
      </c>
      <c r="G57" s="49" t="s">
        <v>365</v>
      </c>
      <c r="H57" s="49" t="s">
        <v>106</v>
      </c>
      <c r="I57" s="49" t="s">
        <v>357</v>
      </c>
      <c r="J57" s="49" t="s">
        <v>366</v>
      </c>
      <c r="K57" s="49" t="s">
        <v>46</v>
      </c>
      <c r="L57" s="49"/>
      <c r="M57" s="50"/>
      <c r="N57" s="49"/>
      <c r="O57" s="49"/>
      <c r="P57" s="50"/>
      <c r="Q57" s="52"/>
      <c r="R57" s="36"/>
      <c r="S57" s="47" t="s">
        <v>213</v>
      </c>
      <c r="T57" s="246">
        <v>0.8</v>
      </c>
      <c r="V57" s="47" t="s">
        <v>150</v>
      </c>
      <c r="W57" s="47" t="str">
        <f t="shared" si="0"/>
        <v/>
      </c>
      <c r="X57" s="47" t="s">
        <v>349</v>
      </c>
      <c r="Y57" s="47" t="s">
        <v>349</v>
      </c>
      <c r="Z57" s="277">
        <v>45992</v>
      </c>
    </row>
    <row r="58" spans="1:26" s="47" customFormat="1" ht="12" x14ac:dyDescent="0.2">
      <c r="A58" s="264">
        <v>412</v>
      </c>
      <c r="B58" s="48" t="s">
        <v>367</v>
      </c>
      <c r="C58" s="49" t="s">
        <v>368</v>
      </c>
      <c r="D58" s="50">
        <v>44329</v>
      </c>
      <c r="E58" s="49" t="s">
        <v>169</v>
      </c>
      <c r="F58" s="49" t="s">
        <v>75</v>
      </c>
      <c r="G58" s="49" t="s">
        <v>120</v>
      </c>
      <c r="H58" s="49" t="s">
        <v>46</v>
      </c>
      <c r="I58" s="49" t="s">
        <v>170</v>
      </c>
      <c r="J58" s="49" t="s">
        <v>158</v>
      </c>
      <c r="K58" s="49" t="s">
        <v>46</v>
      </c>
      <c r="L58" s="49"/>
      <c r="M58" s="50"/>
      <c r="N58" s="49"/>
      <c r="O58" s="49"/>
      <c r="P58" s="50"/>
      <c r="Q58" s="52" t="s">
        <v>369</v>
      </c>
      <c r="R58" s="36"/>
      <c r="S58" s="47" t="s">
        <v>149</v>
      </c>
      <c r="T58" s="246">
        <v>1</v>
      </c>
      <c r="V58" s="47" t="s">
        <v>150</v>
      </c>
      <c r="W58" s="47" t="str">
        <f t="shared" si="0"/>
        <v/>
      </c>
      <c r="X58" s="47" t="s">
        <v>349</v>
      </c>
      <c r="Y58" s="47" t="s">
        <v>349</v>
      </c>
      <c r="Z58" s="277">
        <v>45992</v>
      </c>
    </row>
    <row r="59" spans="1:26" s="47" customFormat="1" ht="12" x14ac:dyDescent="0.2">
      <c r="A59" s="264">
        <v>419</v>
      </c>
      <c r="B59" s="48" t="s">
        <v>370</v>
      </c>
      <c r="C59" s="49" t="s">
        <v>371</v>
      </c>
      <c r="D59" s="50">
        <v>44336</v>
      </c>
      <c r="E59" s="49" t="s">
        <v>372</v>
      </c>
      <c r="F59" s="49" t="s">
        <v>70</v>
      </c>
      <c r="G59" s="49" t="s">
        <v>120</v>
      </c>
      <c r="H59" s="49" t="s">
        <v>57</v>
      </c>
      <c r="I59" s="49" t="s">
        <v>231</v>
      </c>
      <c r="J59" s="49" t="s">
        <v>72</v>
      </c>
      <c r="K59" s="49" t="s">
        <v>57</v>
      </c>
      <c r="L59" s="49"/>
      <c r="M59" s="50"/>
      <c r="N59" s="49"/>
      <c r="O59" s="49"/>
      <c r="P59" s="50"/>
      <c r="Q59" s="52"/>
      <c r="R59" s="36"/>
      <c r="S59" s="47" t="s">
        <v>149</v>
      </c>
      <c r="T59" s="246">
        <v>1</v>
      </c>
      <c r="V59" s="47" t="s">
        <v>150</v>
      </c>
      <c r="W59" s="47" t="str">
        <f t="shared" si="0"/>
        <v/>
      </c>
      <c r="X59" s="47" t="s">
        <v>349</v>
      </c>
      <c r="Y59" s="47" t="s">
        <v>1833</v>
      </c>
      <c r="Z59" s="277"/>
    </row>
    <row r="60" spans="1:26" s="47" customFormat="1" ht="12" x14ac:dyDescent="0.2">
      <c r="A60" s="264">
        <v>420</v>
      </c>
      <c r="B60" s="48" t="s">
        <v>373</v>
      </c>
      <c r="C60" s="49" t="s">
        <v>374</v>
      </c>
      <c r="D60" s="50">
        <v>44336</v>
      </c>
      <c r="E60" s="49" t="s">
        <v>372</v>
      </c>
      <c r="F60" s="49" t="s">
        <v>70</v>
      </c>
      <c r="G60" s="49" t="s">
        <v>120</v>
      </c>
      <c r="H60" s="49" t="s">
        <v>61</v>
      </c>
      <c r="I60" s="49" t="s">
        <v>314</v>
      </c>
      <c r="J60" s="49" t="s">
        <v>175</v>
      </c>
      <c r="K60" s="49" t="s">
        <v>61</v>
      </c>
      <c r="L60" s="49"/>
      <c r="M60" s="50"/>
      <c r="N60" s="49"/>
      <c r="O60" s="49"/>
      <c r="P60" s="50"/>
      <c r="Q60" s="52"/>
      <c r="R60" s="138">
        <v>45961</v>
      </c>
      <c r="S60" s="47" t="s">
        <v>149</v>
      </c>
      <c r="T60" s="246">
        <v>1</v>
      </c>
      <c r="V60" s="47" t="s">
        <v>150</v>
      </c>
      <c r="W60" s="47" t="str">
        <f t="shared" si="0"/>
        <v/>
      </c>
      <c r="X60" s="47" t="s">
        <v>349</v>
      </c>
      <c r="Y60" s="47" t="s">
        <v>1833</v>
      </c>
      <c r="Z60" s="277"/>
    </row>
    <row r="61" spans="1:26" s="47" customFormat="1" ht="12" hidden="1" x14ac:dyDescent="0.2">
      <c r="A61" s="264">
        <v>418</v>
      </c>
      <c r="B61" s="48" t="s">
        <v>375</v>
      </c>
      <c r="C61" s="49" t="s">
        <v>376</v>
      </c>
      <c r="D61" s="50">
        <v>44336</v>
      </c>
      <c r="E61" s="49" t="s">
        <v>372</v>
      </c>
      <c r="F61" s="49" t="s">
        <v>75</v>
      </c>
      <c r="G61" s="49" t="s">
        <v>120</v>
      </c>
      <c r="H61" s="49" t="s">
        <v>57</v>
      </c>
      <c r="I61" s="49" t="s">
        <v>162</v>
      </c>
      <c r="J61" s="49" t="s">
        <v>163</v>
      </c>
      <c r="K61" s="49" t="s">
        <v>57</v>
      </c>
      <c r="L61" s="49"/>
      <c r="M61" s="50"/>
      <c r="N61" s="49"/>
      <c r="O61" s="49"/>
      <c r="P61" s="50"/>
      <c r="Q61" s="52" t="s">
        <v>377</v>
      </c>
      <c r="R61" s="138">
        <v>45744</v>
      </c>
      <c r="S61" s="47" t="s">
        <v>149</v>
      </c>
      <c r="T61" s="246">
        <v>1</v>
      </c>
      <c r="V61" s="47" t="s">
        <v>150</v>
      </c>
      <c r="W61" s="47" t="str">
        <f t="shared" si="0"/>
        <v/>
      </c>
      <c r="X61" s="47" t="s">
        <v>349</v>
      </c>
      <c r="Y61" s="47" t="s">
        <v>1833</v>
      </c>
      <c r="Z61" s="277"/>
    </row>
    <row r="62" spans="1:26" s="47" customFormat="1" ht="12" x14ac:dyDescent="0.2">
      <c r="A62" s="264">
        <v>414</v>
      </c>
      <c r="B62" s="48" t="s">
        <v>378</v>
      </c>
      <c r="C62" s="49" t="s">
        <v>379</v>
      </c>
      <c r="D62" s="50">
        <v>44336</v>
      </c>
      <c r="E62" s="49" t="s">
        <v>372</v>
      </c>
      <c r="F62" s="49" t="s">
        <v>70</v>
      </c>
      <c r="G62" s="49" t="s">
        <v>120</v>
      </c>
      <c r="H62" s="49" t="s">
        <v>61</v>
      </c>
      <c r="I62" s="49" t="s">
        <v>314</v>
      </c>
      <c r="J62" s="49" t="s">
        <v>380</v>
      </c>
      <c r="K62" s="49" t="s">
        <v>61</v>
      </c>
      <c r="L62" s="49"/>
      <c r="M62" s="50"/>
      <c r="N62" s="49"/>
      <c r="O62" s="49"/>
      <c r="P62" s="50"/>
      <c r="Q62" s="36" t="s">
        <v>381</v>
      </c>
      <c r="R62" s="138">
        <v>45818</v>
      </c>
      <c r="S62" s="47" t="s">
        <v>149</v>
      </c>
      <c r="T62" s="246">
        <v>1</v>
      </c>
      <c r="V62" s="47" t="s">
        <v>150</v>
      </c>
      <c r="W62" s="47" t="str">
        <f t="shared" si="0"/>
        <v/>
      </c>
      <c r="X62" s="47" t="s">
        <v>349</v>
      </c>
      <c r="Y62" s="47" t="s">
        <v>1833</v>
      </c>
      <c r="Z62" s="277"/>
    </row>
    <row r="63" spans="1:26" s="47" customFormat="1" ht="12" x14ac:dyDescent="0.2">
      <c r="A63" s="264">
        <v>421</v>
      </c>
      <c r="B63" s="48" t="s">
        <v>382</v>
      </c>
      <c r="C63" s="49" t="s">
        <v>383</v>
      </c>
      <c r="D63" s="50">
        <v>44343</v>
      </c>
      <c r="E63" s="49" t="s">
        <v>169</v>
      </c>
      <c r="F63" s="49" t="s">
        <v>70</v>
      </c>
      <c r="G63" s="49" t="s">
        <v>322</v>
      </c>
      <c r="H63" s="49" t="s">
        <v>46</v>
      </c>
      <c r="I63" s="49" t="s">
        <v>170</v>
      </c>
      <c r="J63" s="49" t="s">
        <v>158</v>
      </c>
      <c r="K63" s="49" t="s">
        <v>46</v>
      </c>
      <c r="L63" s="49"/>
      <c r="M63" s="50"/>
      <c r="N63" s="49"/>
      <c r="O63" s="49"/>
      <c r="P63" s="50"/>
      <c r="Q63" s="52"/>
      <c r="R63" s="138">
        <v>45915</v>
      </c>
      <c r="S63" s="47" t="s">
        <v>149</v>
      </c>
      <c r="T63" s="246">
        <v>1</v>
      </c>
      <c r="V63" s="47" t="s">
        <v>150</v>
      </c>
      <c r="W63" s="47" t="str">
        <f t="shared" si="0"/>
        <v/>
      </c>
      <c r="X63" s="47" t="s">
        <v>349</v>
      </c>
      <c r="Y63" s="47" t="s">
        <v>349</v>
      </c>
      <c r="Z63" s="277">
        <v>45992</v>
      </c>
    </row>
    <row r="64" spans="1:26" s="47" customFormat="1" ht="12" x14ac:dyDescent="0.2">
      <c r="A64" s="264">
        <v>484</v>
      </c>
      <c r="B64" s="48" t="s">
        <v>384</v>
      </c>
      <c r="C64" s="49" t="s">
        <v>385</v>
      </c>
      <c r="D64" s="50">
        <v>44359</v>
      </c>
      <c r="E64" s="49" t="s">
        <v>386</v>
      </c>
      <c r="F64" s="49" t="s">
        <v>70</v>
      </c>
      <c r="G64" s="49" t="s">
        <v>124</v>
      </c>
      <c r="H64" s="49" t="s">
        <v>46</v>
      </c>
      <c r="I64" s="49" t="s">
        <v>387</v>
      </c>
      <c r="J64" s="49" t="s">
        <v>388</v>
      </c>
      <c r="K64" s="49" t="s">
        <v>46</v>
      </c>
      <c r="L64" s="49"/>
      <c r="M64" s="50"/>
      <c r="N64" s="49"/>
      <c r="O64" s="49"/>
      <c r="P64" s="50"/>
      <c r="Q64" s="172" t="s">
        <v>389</v>
      </c>
      <c r="R64" s="36"/>
      <c r="S64" s="47" t="s">
        <v>213</v>
      </c>
      <c r="T64" s="246">
        <v>0.8</v>
      </c>
      <c r="V64" s="47" t="s">
        <v>195</v>
      </c>
      <c r="W64" s="47" t="str">
        <f t="shared" si="0"/>
        <v/>
      </c>
      <c r="X64" s="47" t="s">
        <v>349</v>
      </c>
      <c r="Y64" s="47" t="s">
        <v>349</v>
      </c>
      <c r="Z64" s="277">
        <v>45992</v>
      </c>
    </row>
    <row r="65" spans="1:26" s="47" customFormat="1" ht="12" x14ac:dyDescent="0.2">
      <c r="A65" s="264">
        <v>485</v>
      </c>
      <c r="B65" s="48" t="s">
        <v>390</v>
      </c>
      <c r="C65" s="49" t="s">
        <v>391</v>
      </c>
      <c r="D65" s="50">
        <v>44359</v>
      </c>
      <c r="E65" s="49" t="s">
        <v>313</v>
      </c>
      <c r="F65" s="49" t="s">
        <v>70</v>
      </c>
      <c r="G65" s="49" t="s">
        <v>120</v>
      </c>
      <c r="H65" s="49" t="s">
        <v>61</v>
      </c>
      <c r="I65" s="49" t="s">
        <v>314</v>
      </c>
      <c r="J65" s="49" t="s">
        <v>380</v>
      </c>
      <c r="K65" s="49" t="s">
        <v>59</v>
      </c>
      <c r="L65" s="49" t="s">
        <v>61</v>
      </c>
      <c r="M65" s="88">
        <v>45467</v>
      </c>
      <c r="N65" s="49" t="s">
        <v>392</v>
      </c>
      <c r="O65" s="49" t="s">
        <v>393</v>
      </c>
      <c r="P65" s="50"/>
      <c r="Q65" s="52" t="s">
        <v>394</v>
      </c>
      <c r="R65" s="36"/>
      <c r="S65" s="47" t="s">
        <v>149</v>
      </c>
      <c r="T65" s="246">
        <v>1</v>
      </c>
      <c r="V65" s="47" t="s">
        <v>150</v>
      </c>
      <c r="W65" s="47" t="str">
        <f t="shared" si="0"/>
        <v/>
      </c>
      <c r="X65" s="47" t="s">
        <v>349</v>
      </c>
      <c r="Y65" s="47" t="s">
        <v>1833</v>
      </c>
      <c r="Z65" s="277"/>
    </row>
    <row r="66" spans="1:26" s="47" customFormat="1" ht="12" x14ac:dyDescent="0.2">
      <c r="A66" s="264">
        <v>426</v>
      </c>
      <c r="B66" s="48" t="s">
        <v>395</v>
      </c>
      <c r="C66" s="49" t="s">
        <v>396</v>
      </c>
      <c r="D66" s="50">
        <v>44361</v>
      </c>
      <c r="E66" s="49" t="s">
        <v>397</v>
      </c>
      <c r="F66" s="49" t="s">
        <v>91</v>
      </c>
      <c r="G66" s="49" t="s">
        <v>122</v>
      </c>
      <c r="H66" s="49" t="s">
        <v>61</v>
      </c>
      <c r="I66" s="49" t="s">
        <v>174</v>
      </c>
      <c r="J66" s="49" t="s">
        <v>175</v>
      </c>
      <c r="K66" s="49" t="s">
        <v>61</v>
      </c>
      <c r="L66" s="49"/>
      <c r="M66" s="50"/>
      <c r="N66" s="49"/>
      <c r="O66" s="49"/>
      <c r="P66" s="50"/>
      <c r="Q66" s="52"/>
      <c r="R66" s="36"/>
      <c r="S66" s="47" t="s">
        <v>149</v>
      </c>
      <c r="T66" s="246">
        <v>1</v>
      </c>
      <c r="V66" s="47" t="s">
        <v>150</v>
      </c>
      <c r="W66" s="47" t="str">
        <f t="shared" si="0"/>
        <v/>
      </c>
      <c r="X66" s="47" t="s">
        <v>349</v>
      </c>
      <c r="Y66" s="47" t="s">
        <v>1833</v>
      </c>
      <c r="Z66" s="277"/>
    </row>
    <row r="67" spans="1:26" s="47" customFormat="1" ht="12" x14ac:dyDescent="0.2">
      <c r="A67" s="264">
        <v>428</v>
      </c>
      <c r="B67" s="48" t="s">
        <v>398</v>
      </c>
      <c r="C67" s="49" t="s">
        <v>399</v>
      </c>
      <c r="D67" s="50">
        <v>44361</v>
      </c>
      <c r="E67" s="49" t="s">
        <v>318</v>
      </c>
      <c r="F67" s="49" t="s">
        <v>70</v>
      </c>
      <c r="G67" s="49" t="s">
        <v>122</v>
      </c>
      <c r="H67" s="49" t="s">
        <v>61</v>
      </c>
      <c r="I67" s="49" t="s">
        <v>400</v>
      </c>
      <c r="J67" s="49" t="s">
        <v>175</v>
      </c>
      <c r="K67" s="49" t="s">
        <v>61</v>
      </c>
      <c r="L67" s="49"/>
      <c r="M67" s="50"/>
      <c r="N67" s="49"/>
      <c r="O67" s="49" t="s">
        <v>175</v>
      </c>
      <c r="P67" s="50"/>
      <c r="Q67" s="52"/>
      <c r="R67" s="36"/>
      <c r="S67" s="47" t="s">
        <v>149</v>
      </c>
      <c r="T67" s="246">
        <v>1</v>
      </c>
      <c r="V67" s="47" t="s">
        <v>195</v>
      </c>
      <c r="W67" s="47" t="str">
        <f t="shared" si="0"/>
        <v/>
      </c>
      <c r="X67" s="47" t="s">
        <v>349</v>
      </c>
      <c r="Y67" s="47" t="s">
        <v>1833</v>
      </c>
      <c r="Z67" s="277"/>
    </row>
    <row r="68" spans="1:26" s="47" customFormat="1" ht="12" x14ac:dyDescent="0.2">
      <c r="A68" s="264">
        <v>439</v>
      </c>
      <c r="B68" s="48" t="s">
        <v>401</v>
      </c>
      <c r="C68" s="49" t="s">
        <v>402</v>
      </c>
      <c r="D68" s="50">
        <v>44391</v>
      </c>
      <c r="E68" s="49" t="s">
        <v>403</v>
      </c>
      <c r="F68" s="49" t="s">
        <v>70</v>
      </c>
      <c r="G68" s="49" t="s">
        <v>118</v>
      </c>
      <c r="H68" s="49" t="s">
        <v>61</v>
      </c>
      <c r="I68" s="49" t="s">
        <v>174</v>
      </c>
      <c r="J68" s="49" t="s">
        <v>175</v>
      </c>
      <c r="K68" s="49" t="s">
        <v>59</v>
      </c>
      <c r="L68" s="49" t="s">
        <v>61</v>
      </c>
      <c r="M68" s="50">
        <v>45480</v>
      </c>
      <c r="N68" s="49" t="s">
        <v>404</v>
      </c>
      <c r="O68" s="49" t="s">
        <v>175</v>
      </c>
      <c r="P68" s="50"/>
      <c r="Q68" s="52"/>
      <c r="R68" s="36"/>
      <c r="S68" s="47" t="s">
        <v>149</v>
      </c>
      <c r="T68" s="246">
        <v>1</v>
      </c>
      <c r="V68" s="47" t="s">
        <v>195</v>
      </c>
      <c r="W68" s="47" t="str">
        <f t="shared" si="0"/>
        <v/>
      </c>
      <c r="X68" s="47" t="s">
        <v>349</v>
      </c>
      <c r="Y68" s="47" t="s">
        <v>1833</v>
      </c>
      <c r="Z68" s="277"/>
    </row>
    <row r="69" spans="1:26" s="47" customFormat="1" ht="12" x14ac:dyDescent="0.2">
      <c r="A69" s="264">
        <v>396</v>
      </c>
      <c r="B69" s="48" t="s">
        <v>405</v>
      </c>
      <c r="C69" s="49" t="s">
        <v>406</v>
      </c>
      <c r="D69" s="50">
        <v>44411</v>
      </c>
      <c r="E69" s="49" t="s">
        <v>169</v>
      </c>
      <c r="F69" s="49" t="s">
        <v>70</v>
      </c>
      <c r="G69" s="49" t="s">
        <v>322</v>
      </c>
      <c r="H69" s="49" t="s">
        <v>46</v>
      </c>
      <c r="I69" s="49" t="s">
        <v>407</v>
      </c>
      <c r="J69" s="49" t="s">
        <v>294</v>
      </c>
      <c r="K69" s="49" t="s">
        <v>46</v>
      </c>
      <c r="L69" s="49"/>
      <c r="M69" s="50"/>
      <c r="N69" s="49"/>
      <c r="O69" s="49"/>
      <c r="P69" s="50"/>
      <c r="Q69" s="52"/>
      <c r="R69" s="138">
        <v>45771</v>
      </c>
      <c r="S69" s="47" t="s">
        <v>149</v>
      </c>
      <c r="T69" s="246">
        <v>1</v>
      </c>
      <c r="V69" s="47" t="s">
        <v>150</v>
      </c>
      <c r="W69" s="47" t="str">
        <f t="shared" ref="W69:W133" si="1">IF(AND(T69&lt;&gt;"",NOT(ISNUMBER(T69))),"Non-numeric","")</f>
        <v/>
      </c>
      <c r="X69" s="47" t="s">
        <v>349</v>
      </c>
      <c r="Y69" s="47" t="s">
        <v>349</v>
      </c>
      <c r="Z69" s="277">
        <v>45992</v>
      </c>
    </row>
    <row r="70" spans="1:26" s="47" customFormat="1" x14ac:dyDescent="0.2">
      <c r="A70" s="264">
        <v>447</v>
      </c>
      <c r="B70" s="17" t="s">
        <v>408</v>
      </c>
      <c r="C70" s="6" t="s">
        <v>409</v>
      </c>
      <c r="D70" s="7">
        <v>44431</v>
      </c>
      <c r="E70" s="49" t="s">
        <v>274</v>
      </c>
      <c r="F70" s="49" t="s">
        <v>75</v>
      </c>
      <c r="G70" s="49" t="s">
        <v>275</v>
      </c>
      <c r="H70" s="49" t="s">
        <v>62</v>
      </c>
      <c r="I70" s="49" t="s">
        <v>276</v>
      </c>
      <c r="J70" s="49" t="s">
        <v>277</v>
      </c>
      <c r="K70" s="49"/>
      <c r="L70" s="49"/>
      <c r="M70" s="50"/>
      <c r="N70" s="49"/>
      <c r="O70" s="49"/>
      <c r="P70" s="50"/>
      <c r="Q70" s="52"/>
      <c r="R70" s="36"/>
      <c r="S70" s="2" t="s">
        <v>213</v>
      </c>
      <c r="T70" s="244">
        <v>0.5</v>
      </c>
      <c r="U70" s="47" t="s">
        <v>278</v>
      </c>
      <c r="V70" s="47" t="s">
        <v>150</v>
      </c>
      <c r="W70" s="47" t="str">
        <f t="shared" si="1"/>
        <v/>
      </c>
      <c r="X70" s="47" t="s">
        <v>349</v>
      </c>
      <c r="Y70" s="47" t="s">
        <v>1833</v>
      </c>
      <c r="Z70" s="277"/>
    </row>
    <row r="71" spans="1:26" s="47" customFormat="1" ht="12" x14ac:dyDescent="0.2">
      <c r="A71" s="264">
        <v>390</v>
      </c>
      <c r="B71" s="48" t="s">
        <v>410</v>
      </c>
      <c r="C71" s="49" t="s">
        <v>411</v>
      </c>
      <c r="D71" s="50">
        <v>44441</v>
      </c>
      <c r="E71" s="49" t="s">
        <v>412</v>
      </c>
      <c r="F71" s="49" t="s">
        <v>70</v>
      </c>
      <c r="G71" s="49" t="s">
        <v>121</v>
      </c>
      <c r="H71" s="49" t="s">
        <v>56</v>
      </c>
      <c r="I71" s="49" t="s">
        <v>147</v>
      </c>
      <c r="J71" s="49" t="s">
        <v>60</v>
      </c>
      <c r="K71" s="49" t="s">
        <v>60</v>
      </c>
      <c r="L71" s="49"/>
      <c r="M71" s="50"/>
      <c r="N71" s="49"/>
      <c r="O71" s="49"/>
      <c r="P71" s="50"/>
      <c r="Q71" s="52"/>
      <c r="R71" s="36"/>
      <c r="S71" s="47" t="s">
        <v>149</v>
      </c>
      <c r="T71" s="246">
        <v>1</v>
      </c>
      <c r="V71" s="47" t="s">
        <v>150</v>
      </c>
      <c r="W71" s="47" t="str">
        <f t="shared" si="1"/>
        <v/>
      </c>
      <c r="X71" s="47" t="s">
        <v>1833</v>
      </c>
      <c r="Y71" s="47" t="s">
        <v>1833</v>
      </c>
      <c r="Z71" s="277">
        <v>45870</v>
      </c>
    </row>
    <row r="72" spans="1:26" s="47" customFormat="1" ht="12" x14ac:dyDescent="0.2">
      <c r="A72" s="264">
        <v>441</v>
      </c>
      <c r="B72" s="48" t="s">
        <v>413</v>
      </c>
      <c r="C72" s="49" t="s">
        <v>414</v>
      </c>
      <c r="D72" s="50">
        <v>44447</v>
      </c>
      <c r="E72" s="49" t="s">
        <v>313</v>
      </c>
      <c r="F72" s="49" t="s">
        <v>70</v>
      </c>
      <c r="G72" s="49" t="s">
        <v>120</v>
      </c>
      <c r="H72" s="49" t="s">
        <v>57</v>
      </c>
      <c r="I72" s="49" t="s">
        <v>162</v>
      </c>
      <c r="J72" s="49" t="s">
        <v>239</v>
      </c>
      <c r="K72" s="49" t="s">
        <v>57</v>
      </c>
      <c r="L72" s="49"/>
      <c r="M72" s="50"/>
      <c r="N72" s="49"/>
      <c r="O72" s="49"/>
      <c r="P72" s="50"/>
      <c r="Q72" s="52" t="s">
        <v>415</v>
      </c>
      <c r="R72" s="36"/>
      <c r="S72" s="47" t="s">
        <v>149</v>
      </c>
      <c r="T72" s="246">
        <v>1</v>
      </c>
      <c r="V72" s="47" t="s">
        <v>195</v>
      </c>
      <c r="W72" s="47" t="str">
        <f t="shared" si="1"/>
        <v/>
      </c>
      <c r="X72" s="47" t="s">
        <v>349</v>
      </c>
      <c r="Y72" s="47" t="s">
        <v>1833</v>
      </c>
      <c r="Z72" s="277"/>
    </row>
    <row r="73" spans="1:26" s="47" customFormat="1" ht="12" x14ac:dyDescent="0.2">
      <c r="A73" s="264">
        <v>453</v>
      </c>
      <c r="B73" s="48" t="s">
        <v>416</v>
      </c>
      <c r="C73" s="49" t="s">
        <v>417</v>
      </c>
      <c r="D73" s="50">
        <v>44459</v>
      </c>
      <c r="E73" s="49" t="s">
        <v>418</v>
      </c>
      <c r="F73" s="49" t="s">
        <v>70</v>
      </c>
      <c r="G73" s="49" t="s">
        <v>55</v>
      </c>
      <c r="H73" s="49" t="s">
        <v>55</v>
      </c>
      <c r="I73" s="49" t="s">
        <v>329</v>
      </c>
      <c r="J73" s="49" t="s">
        <v>419</v>
      </c>
      <c r="K73" s="49" t="s">
        <v>55</v>
      </c>
      <c r="L73" s="49"/>
      <c r="M73" s="50">
        <v>45495</v>
      </c>
      <c r="N73" s="49"/>
      <c r="O73" s="49"/>
      <c r="P73" s="50"/>
      <c r="Q73" s="52"/>
      <c r="R73" s="36"/>
      <c r="S73" s="47" t="s">
        <v>149</v>
      </c>
      <c r="T73" s="246">
        <v>1</v>
      </c>
      <c r="V73" s="47" t="s">
        <v>195</v>
      </c>
      <c r="W73" s="47" t="str">
        <f t="shared" si="1"/>
        <v/>
      </c>
      <c r="X73" s="47" t="s">
        <v>1833</v>
      </c>
      <c r="Y73" s="47" t="s">
        <v>1833</v>
      </c>
      <c r="Z73" s="277">
        <v>45931</v>
      </c>
    </row>
    <row r="74" spans="1:26" s="47" customFormat="1" ht="12" x14ac:dyDescent="0.2">
      <c r="A74" s="264">
        <v>450</v>
      </c>
      <c r="B74" s="53" t="s">
        <v>420</v>
      </c>
      <c r="C74" s="54" t="s">
        <v>421</v>
      </c>
      <c r="D74" s="50">
        <v>44466</v>
      </c>
      <c r="E74" s="49" t="s">
        <v>422</v>
      </c>
      <c r="F74" s="49" t="s">
        <v>70</v>
      </c>
      <c r="G74" s="49" t="s">
        <v>118</v>
      </c>
      <c r="H74" s="49" t="s">
        <v>57</v>
      </c>
      <c r="I74" s="49" t="s">
        <v>423</v>
      </c>
      <c r="J74" s="49" t="s">
        <v>72</v>
      </c>
      <c r="K74" s="49" t="s">
        <v>57</v>
      </c>
      <c r="L74" s="49"/>
      <c r="M74" s="50"/>
      <c r="N74" s="49"/>
      <c r="O74" s="49"/>
      <c r="P74" s="50"/>
      <c r="Q74" s="52"/>
      <c r="R74" s="138">
        <v>45779</v>
      </c>
      <c r="S74" s="47" t="s">
        <v>149</v>
      </c>
      <c r="T74" s="246">
        <v>1</v>
      </c>
      <c r="V74" s="47" t="s">
        <v>195</v>
      </c>
      <c r="W74" s="47" t="str">
        <f t="shared" si="1"/>
        <v/>
      </c>
      <c r="X74" s="47" t="s">
        <v>349</v>
      </c>
      <c r="Y74" s="47" t="s">
        <v>1833</v>
      </c>
      <c r="Z74" s="277"/>
    </row>
    <row r="75" spans="1:26" s="47" customFormat="1" ht="12" x14ac:dyDescent="0.2">
      <c r="A75" s="264">
        <v>397</v>
      </c>
      <c r="B75" s="48" t="s">
        <v>424</v>
      </c>
      <c r="C75" s="49" t="s">
        <v>425</v>
      </c>
      <c r="D75" s="50">
        <v>44472</v>
      </c>
      <c r="E75" s="49" t="s">
        <v>426</v>
      </c>
      <c r="F75" s="49" t="s">
        <v>70</v>
      </c>
      <c r="G75" s="49" t="s">
        <v>338</v>
      </c>
      <c r="H75" s="49" t="s">
        <v>56</v>
      </c>
      <c r="I75" s="49" t="s">
        <v>288</v>
      </c>
      <c r="J75" s="49" t="s">
        <v>272</v>
      </c>
      <c r="K75" s="49" t="s">
        <v>223</v>
      </c>
      <c r="L75" s="49"/>
      <c r="M75" s="50"/>
      <c r="N75" s="49"/>
      <c r="O75" s="49"/>
      <c r="P75" s="50"/>
      <c r="Q75" s="52"/>
      <c r="R75" s="36"/>
      <c r="S75" s="47" t="s">
        <v>149</v>
      </c>
      <c r="T75" s="246">
        <v>1</v>
      </c>
      <c r="V75" s="47" t="s">
        <v>195</v>
      </c>
      <c r="W75" s="47" t="str">
        <f t="shared" si="1"/>
        <v/>
      </c>
      <c r="X75" s="47" t="s">
        <v>1833</v>
      </c>
      <c r="Y75" s="47" t="s">
        <v>1833</v>
      </c>
      <c r="Z75" s="277">
        <v>45870</v>
      </c>
    </row>
    <row r="76" spans="1:26" s="47" customFormat="1" ht="12" x14ac:dyDescent="0.2">
      <c r="A76" s="264">
        <v>411</v>
      </c>
      <c r="B76" s="48" t="s">
        <v>427</v>
      </c>
      <c r="C76" s="49" t="s">
        <v>428</v>
      </c>
      <c r="D76" s="50">
        <v>44474</v>
      </c>
      <c r="E76" s="49" t="s">
        <v>313</v>
      </c>
      <c r="F76" s="49" t="s">
        <v>70</v>
      </c>
      <c r="G76" s="49" t="s">
        <v>120</v>
      </c>
      <c r="H76" s="49" t="s">
        <v>57</v>
      </c>
      <c r="I76" s="49" t="s">
        <v>231</v>
      </c>
      <c r="J76" s="49" t="s">
        <v>72</v>
      </c>
      <c r="K76" s="49" t="s">
        <v>57</v>
      </c>
      <c r="L76" s="49"/>
      <c r="M76" s="50"/>
      <c r="N76" s="49"/>
      <c r="O76" s="49"/>
      <c r="P76" s="50"/>
      <c r="Q76" s="52"/>
      <c r="R76" s="36"/>
      <c r="S76" s="47" t="s">
        <v>149</v>
      </c>
      <c r="T76" s="246">
        <v>1</v>
      </c>
      <c r="V76" s="47" t="s">
        <v>150</v>
      </c>
      <c r="W76" s="47" t="str">
        <f t="shared" si="1"/>
        <v/>
      </c>
      <c r="X76" s="47" t="s">
        <v>349</v>
      </c>
      <c r="Y76" s="47" t="s">
        <v>1833</v>
      </c>
      <c r="Z76" s="277"/>
    </row>
    <row r="77" spans="1:26" s="47" customFormat="1" ht="12" x14ac:dyDescent="0.2">
      <c r="A77" s="264">
        <v>384</v>
      </c>
      <c r="B77" s="48" t="s">
        <v>429</v>
      </c>
      <c r="C77" s="49" t="s">
        <v>430</v>
      </c>
      <c r="D77" s="50">
        <v>44501</v>
      </c>
      <c r="E77" s="49" t="s">
        <v>313</v>
      </c>
      <c r="F77" s="49" t="s">
        <v>70</v>
      </c>
      <c r="G77" s="49" t="s">
        <v>120</v>
      </c>
      <c r="H77" s="49" t="s">
        <v>57</v>
      </c>
      <c r="I77" s="49" t="s">
        <v>231</v>
      </c>
      <c r="J77" s="49" t="s">
        <v>72</v>
      </c>
      <c r="K77" s="49" t="s">
        <v>57</v>
      </c>
      <c r="L77" s="49"/>
      <c r="M77" s="50"/>
      <c r="N77" s="49"/>
      <c r="O77" s="49"/>
      <c r="P77" s="50"/>
      <c r="Q77" s="52"/>
      <c r="R77" s="36"/>
      <c r="S77" s="47" t="s">
        <v>149</v>
      </c>
      <c r="T77" s="246">
        <v>1</v>
      </c>
      <c r="V77" s="47" t="s">
        <v>150</v>
      </c>
      <c r="W77" s="47" t="str">
        <f t="shared" si="1"/>
        <v/>
      </c>
      <c r="X77" s="47" t="s">
        <v>349</v>
      </c>
      <c r="Y77" s="47" t="s">
        <v>1833</v>
      </c>
      <c r="Z77" s="277"/>
    </row>
    <row r="78" spans="1:26" s="47" customFormat="1" ht="12" hidden="1" x14ac:dyDescent="0.2">
      <c r="A78" s="264">
        <v>462</v>
      </c>
      <c r="B78" s="130" t="s">
        <v>431</v>
      </c>
      <c r="C78" s="100" t="s">
        <v>180</v>
      </c>
      <c r="D78" s="50">
        <v>44515</v>
      </c>
      <c r="E78" s="49" t="s">
        <v>432</v>
      </c>
      <c r="F78" s="100" t="s">
        <v>70</v>
      </c>
      <c r="G78" s="100"/>
      <c r="H78" s="49" t="s">
        <v>57</v>
      </c>
      <c r="I78" s="100" t="s">
        <v>231</v>
      </c>
      <c r="J78" s="49"/>
      <c r="K78" s="100" t="s">
        <v>57</v>
      </c>
      <c r="L78" s="147"/>
      <c r="M78" s="131"/>
      <c r="N78" s="100" t="s">
        <v>72</v>
      </c>
      <c r="O78" s="100"/>
      <c r="P78" s="131"/>
      <c r="Q78" s="133"/>
      <c r="R78" s="134">
        <v>45457</v>
      </c>
      <c r="T78" s="246">
        <v>1</v>
      </c>
      <c r="V78" s="47" t="s">
        <v>150</v>
      </c>
      <c r="W78" s="47" t="str">
        <f t="shared" si="1"/>
        <v/>
      </c>
      <c r="X78" s="47" t="s">
        <v>349</v>
      </c>
      <c r="Y78" s="47" t="s">
        <v>1833</v>
      </c>
      <c r="Z78" s="277"/>
    </row>
    <row r="79" spans="1:26" s="47" customFormat="1" ht="12" x14ac:dyDescent="0.2">
      <c r="A79" s="264">
        <v>460</v>
      </c>
      <c r="B79" s="48" t="s">
        <v>433</v>
      </c>
      <c r="C79" s="49" t="s">
        <v>434</v>
      </c>
      <c r="D79" s="50">
        <v>44515</v>
      </c>
      <c r="E79" s="49" t="s">
        <v>318</v>
      </c>
      <c r="F79" s="49" t="s">
        <v>70</v>
      </c>
      <c r="G79" s="49" t="s">
        <v>122</v>
      </c>
      <c r="H79" s="49" t="s">
        <v>57</v>
      </c>
      <c r="I79" s="49" t="s">
        <v>263</v>
      </c>
      <c r="J79" s="49" t="s">
        <v>72</v>
      </c>
      <c r="K79" s="49" t="s">
        <v>57</v>
      </c>
      <c r="L79" s="49"/>
      <c r="M79" s="50"/>
      <c r="N79" s="49"/>
      <c r="O79" s="49"/>
      <c r="P79" s="50"/>
      <c r="Q79" s="52"/>
      <c r="R79" s="36"/>
      <c r="S79" s="47" t="s">
        <v>149</v>
      </c>
      <c r="T79" s="246">
        <v>1</v>
      </c>
      <c r="V79" s="47" t="s">
        <v>150</v>
      </c>
      <c r="W79" s="47" t="str">
        <f t="shared" si="1"/>
        <v/>
      </c>
      <c r="X79" s="47" t="s">
        <v>349</v>
      </c>
      <c r="Y79" s="47" t="s">
        <v>1833</v>
      </c>
      <c r="Z79" s="277"/>
    </row>
    <row r="80" spans="1:26" s="47" customFormat="1" ht="12" x14ac:dyDescent="0.2">
      <c r="A80" s="264">
        <v>463</v>
      </c>
      <c r="B80" s="48" t="s">
        <v>435</v>
      </c>
      <c r="C80" s="49" t="s">
        <v>307</v>
      </c>
      <c r="D80" s="50">
        <v>44515</v>
      </c>
      <c r="E80" s="49" t="s">
        <v>169</v>
      </c>
      <c r="F80" s="49" t="s">
        <v>70</v>
      </c>
      <c r="G80" s="49" t="s">
        <v>120</v>
      </c>
      <c r="H80" s="49" t="s">
        <v>57</v>
      </c>
      <c r="I80" s="49" t="s">
        <v>162</v>
      </c>
      <c r="J80" s="49" t="s">
        <v>163</v>
      </c>
      <c r="K80" s="49" t="s">
        <v>57</v>
      </c>
      <c r="L80" s="49"/>
      <c r="M80" s="50"/>
      <c r="N80" s="49"/>
      <c r="O80" s="49"/>
      <c r="P80" s="50"/>
      <c r="Q80" s="52"/>
      <c r="R80" s="36"/>
      <c r="S80" s="47" t="s">
        <v>149</v>
      </c>
      <c r="T80" s="246">
        <v>1</v>
      </c>
      <c r="V80" s="47" t="s">
        <v>150</v>
      </c>
      <c r="W80" s="47" t="str">
        <f t="shared" si="1"/>
        <v/>
      </c>
      <c r="X80" s="47" t="s">
        <v>349</v>
      </c>
      <c r="Y80" s="47" t="s">
        <v>1833</v>
      </c>
      <c r="Z80" s="277"/>
    </row>
    <row r="81" spans="1:26" s="47" customFormat="1" ht="12" x14ac:dyDescent="0.2">
      <c r="A81" s="264">
        <v>465</v>
      </c>
      <c r="B81" s="48" t="s">
        <v>436</v>
      </c>
      <c r="C81" s="49" t="s">
        <v>180</v>
      </c>
      <c r="D81" s="50">
        <v>44515</v>
      </c>
      <c r="E81" s="49" t="s">
        <v>372</v>
      </c>
      <c r="F81" s="49" t="s">
        <v>91</v>
      </c>
      <c r="G81" s="49" t="s">
        <v>120</v>
      </c>
      <c r="H81" s="49" t="s">
        <v>57</v>
      </c>
      <c r="I81" s="49" t="s">
        <v>162</v>
      </c>
      <c r="J81" s="49" t="s">
        <v>163</v>
      </c>
      <c r="K81" s="49" t="s">
        <v>57</v>
      </c>
      <c r="L81" s="49"/>
      <c r="M81" s="50"/>
      <c r="N81" s="49"/>
      <c r="O81" s="49"/>
      <c r="P81" s="50"/>
      <c r="Q81" s="52"/>
      <c r="R81" s="36"/>
      <c r="S81" s="47" t="s">
        <v>149</v>
      </c>
      <c r="T81" s="246">
        <v>1</v>
      </c>
      <c r="V81" s="47" t="s">
        <v>150</v>
      </c>
      <c r="W81" s="47" t="str">
        <f t="shared" si="1"/>
        <v/>
      </c>
      <c r="X81" s="47" t="s">
        <v>349</v>
      </c>
      <c r="Y81" s="47" t="s">
        <v>1833</v>
      </c>
      <c r="Z81" s="277"/>
    </row>
    <row r="82" spans="1:26" s="47" customFormat="1" ht="12" x14ac:dyDescent="0.2">
      <c r="A82" s="264">
        <v>464</v>
      </c>
      <c r="B82" s="48" t="s">
        <v>171</v>
      </c>
      <c r="C82" s="49" t="s">
        <v>396</v>
      </c>
      <c r="D82" s="50">
        <v>44515</v>
      </c>
      <c r="E82" s="49" t="s">
        <v>372</v>
      </c>
      <c r="F82" s="49" t="s">
        <v>75</v>
      </c>
      <c r="G82" s="49" t="s">
        <v>120</v>
      </c>
      <c r="H82" s="49" t="s">
        <v>61</v>
      </c>
      <c r="I82" s="49" t="s">
        <v>314</v>
      </c>
      <c r="J82" s="49" t="s">
        <v>175</v>
      </c>
      <c r="K82" s="49" t="s">
        <v>61</v>
      </c>
      <c r="L82" s="49"/>
      <c r="M82" s="50"/>
      <c r="N82" s="49"/>
      <c r="O82" s="49"/>
      <c r="P82" s="50"/>
      <c r="Q82" s="52" t="s">
        <v>437</v>
      </c>
      <c r="R82" s="138">
        <v>45952</v>
      </c>
      <c r="S82" s="47" t="s">
        <v>149</v>
      </c>
      <c r="T82" s="246">
        <v>1</v>
      </c>
      <c r="V82" s="47" t="s">
        <v>150</v>
      </c>
      <c r="W82" s="47" t="str">
        <f t="shared" si="1"/>
        <v/>
      </c>
      <c r="X82" s="47" t="s">
        <v>349</v>
      </c>
      <c r="Y82" s="47" t="s">
        <v>1833</v>
      </c>
      <c r="Z82" s="277"/>
    </row>
    <row r="83" spans="1:26" s="47" customFormat="1" ht="12" x14ac:dyDescent="0.2">
      <c r="A83" s="264">
        <v>482</v>
      </c>
      <c r="B83" s="48" t="s">
        <v>438</v>
      </c>
      <c r="C83" s="49" t="s">
        <v>252</v>
      </c>
      <c r="D83" s="50">
        <v>44529</v>
      </c>
      <c r="E83" s="49" t="s">
        <v>206</v>
      </c>
      <c r="F83" s="49" t="s">
        <v>70</v>
      </c>
      <c r="G83" s="49" t="s">
        <v>122</v>
      </c>
      <c r="H83" s="49" t="s">
        <v>46</v>
      </c>
      <c r="I83" s="49" t="s">
        <v>207</v>
      </c>
      <c r="J83" s="49" t="s">
        <v>158</v>
      </c>
      <c r="K83" s="49" t="s">
        <v>46</v>
      </c>
      <c r="L83" s="49"/>
      <c r="M83" s="50"/>
      <c r="N83" s="49"/>
      <c r="O83" s="49"/>
      <c r="P83" s="50"/>
      <c r="Q83" s="52" t="s">
        <v>439</v>
      </c>
      <c r="R83" s="36"/>
      <c r="S83" s="47" t="s">
        <v>149</v>
      </c>
      <c r="T83" s="246">
        <v>1</v>
      </c>
      <c r="V83" s="47" t="s">
        <v>150</v>
      </c>
      <c r="W83" s="47" t="str">
        <f t="shared" si="1"/>
        <v/>
      </c>
      <c r="X83" s="47" t="s">
        <v>349</v>
      </c>
      <c r="Y83" s="47" t="s">
        <v>349</v>
      </c>
      <c r="Z83" s="277">
        <v>45992</v>
      </c>
    </row>
    <row r="84" spans="1:26" s="47" customFormat="1" ht="12" x14ac:dyDescent="0.2">
      <c r="A84" s="264">
        <v>404</v>
      </c>
      <c r="B84" s="48" t="s">
        <v>440</v>
      </c>
      <c r="C84" s="49" t="s">
        <v>441</v>
      </c>
      <c r="D84" s="50">
        <v>44534</v>
      </c>
      <c r="E84" s="49" t="s">
        <v>169</v>
      </c>
      <c r="F84" s="49" t="s">
        <v>91</v>
      </c>
      <c r="G84" s="49" t="s">
        <v>120</v>
      </c>
      <c r="H84" s="49" t="s">
        <v>57</v>
      </c>
      <c r="I84" s="49" t="s">
        <v>231</v>
      </c>
      <c r="J84" s="49" t="s">
        <v>72</v>
      </c>
      <c r="K84" s="49" t="s">
        <v>57</v>
      </c>
      <c r="L84" s="49"/>
      <c r="M84" s="50"/>
      <c r="N84" s="49"/>
      <c r="O84" s="49"/>
      <c r="P84" s="50"/>
      <c r="Q84" s="52" t="s">
        <v>442</v>
      </c>
      <c r="R84" s="138">
        <v>45933</v>
      </c>
      <c r="S84" s="47" t="s">
        <v>149</v>
      </c>
      <c r="T84" s="246">
        <v>1</v>
      </c>
      <c r="V84" s="47" t="s">
        <v>150</v>
      </c>
      <c r="W84" s="47" t="str">
        <f t="shared" si="1"/>
        <v/>
      </c>
      <c r="X84" s="47" t="s">
        <v>349</v>
      </c>
      <c r="Y84" s="47" t="s">
        <v>1833</v>
      </c>
      <c r="Z84" s="277"/>
    </row>
    <row r="85" spans="1:26" s="47" customFormat="1" ht="12" x14ac:dyDescent="0.2">
      <c r="A85" s="264">
        <v>487</v>
      </c>
      <c r="B85" s="48" t="s">
        <v>443</v>
      </c>
      <c r="C85" s="49" t="s">
        <v>444</v>
      </c>
      <c r="D85" s="50">
        <v>44547</v>
      </c>
      <c r="E85" s="49" t="s">
        <v>445</v>
      </c>
      <c r="F85" s="49" t="s">
        <v>70</v>
      </c>
      <c r="G85" s="49" t="s">
        <v>124</v>
      </c>
      <c r="H85" s="49" t="s">
        <v>46</v>
      </c>
      <c r="I85" s="49" t="s">
        <v>187</v>
      </c>
      <c r="J85" s="49" t="s">
        <v>158</v>
      </c>
      <c r="K85" s="49" t="s">
        <v>46</v>
      </c>
      <c r="L85" s="49"/>
      <c r="M85" s="50"/>
      <c r="N85" s="49"/>
      <c r="O85" s="49"/>
      <c r="P85" s="50"/>
      <c r="Q85" s="52"/>
      <c r="R85" s="36"/>
      <c r="S85" s="47" t="s">
        <v>149</v>
      </c>
      <c r="T85" s="246">
        <v>1</v>
      </c>
      <c r="V85" s="47" t="s">
        <v>150</v>
      </c>
      <c r="W85" s="47" t="str">
        <f t="shared" si="1"/>
        <v/>
      </c>
      <c r="X85" s="47" t="s">
        <v>349</v>
      </c>
      <c r="Y85" s="47" t="s">
        <v>349</v>
      </c>
      <c r="Z85" s="277">
        <v>45992</v>
      </c>
    </row>
    <row r="86" spans="1:26" s="47" customFormat="1" ht="12" x14ac:dyDescent="0.2">
      <c r="A86" s="264">
        <v>473</v>
      </c>
      <c r="B86" s="48" t="s">
        <v>446</v>
      </c>
      <c r="C86" s="49" t="s">
        <v>447</v>
      </c>
      <c r="D86" s="50">
        <v>44578</v>
      </c>
      <c r="E86" s="49" t="s">
        <v>206</v>
      </c>
      <c r="F86" s="49" t="s">
        <v>91</v>
      </c>
      <c r="G86" s="49" t="s">
        <v>122</v>
      </c>
      <c r="H86" s="49" t="s">
        <v>57</v>
      </c>
      <c r="I86" s="49" t="s">
        <v>162</v>
      </c>
      <c r="J86" s="49" t="s">
        <v>163</v>
      </c>
      <c r="K86" s="49" t="s">
        <v>57</v>
      </c>
      <c r="L86" s="49"/>
      <c r="M86" s="50"/>
      <c r="N86" s="49"/>
      <c r="O86" s="49"/>
      <c r="P86" s="50"/>
      <c r="Q86" s="52"/>
      <c r="R86" s="36"/>
      <c r="S86" s="47" t="s">
        <v>149</v>
      </c>
      <c r="T86" s="246">
        <v>1</v>
      </c>
      <c r="V86" s="47" t="s">
        <v>195</v>
      </c>
      <c r="W86" s="47" t="str">
        <f t="shared" si="1"/>
        <v/>
      </c>
      <c r="X86" s="47" t="s">
        <v>349</v>
      </c>
      <c r="Y86" s="47" t="s">
        <v>1833</v>
      </c>
      <c r="Z86" s="277"/>
    </row>
    <row r="87" spans="1:26" s="47" customFormat="1" ht="12" hidden="1" x14ac:dyDescent="0.2">
      <c r="A87" s="264">
        <v>548</v>
      </c>
      <c r="B87" s="48" t="s">
        <v>448</v>
      </c>
      <c r="C87" s="49" t="s">
        <v>449</v>
      </c>
      <c r="D87" s="50">
        <v>44630</v>
      </c>
      <c r="E87" s="49" t="s">
        <v>173</v>
      </c>
      <c r="F87" s="49" t="s">
        <v>70</v>
      </c>
      <c r="G87" s="49" t="s">
        <v>347</v>
      </c>
      <c r="H87" s="49" t="s">
        <v>57</v>
      </c>
      <c r="I87" s="49" t="s">
        <v>423</v>
      </c>
      <c r="J87" s="49" t="s">
        <v>72</v>
      </c>
      <c r="K87" s="49" t="s">
        <v>57</v>
      </c>
      <c r="L87" s="49"/>
      <c r="M87" s="50"/>
      <c r="N87" s="49"/>
      <c r="O87" s="49"/>
      <c r="P87" s="50"/>
      <c r="Q87" s="52" t="s">
        <v>450</v>
      </c>
      <c r="R87" s="138">
        <v>45618</v>
      </c>
      <c r="S87" s="47" t="s">
        <v>149</v>
      </c>
      <c r="T87" s="246">
        <v>1</v>
      </c>
      <c r="V87" s="47" t="s">
        <v>150</v>
      </c>
      <c r="W87" s="47" t="str">
        <f t="shared" si="1"/>
        <v/>
      </c>
      <c r="X87" s="47" t="s">
        <v>349</v>
      </c>
      <c r="Y87" s="47" t="s">
        <v>1833</v>
      </c>
      <c r="Z87" s="277"/>
    </row>
    <row r="88" spans="1:26" s="47" customFormat="1" ht="12" x14ac:dyDescent="0.2">
      <c r="A88" s="264">
        <v>497</v>
      </c>
      <c r="B88" s="48" t="s">
        <v>451</v>
      </c>
      <c r="C88" s="49" t="s">
        <v>452</v>
      </c>
      <c r="D88" s="50">
        <v>44635</v>
      </c>
      <c r="E88" s="49" t="s">
        <v>453</v>
      </c>
      <c r="F88" s="49" t="s">
        <v>91</v>
      </c>
      <c r="G88" s="49" t="s">
        <v>122</v>
      </c>
      <c r="H88" s="49" t="s">
        <v>57</v>
      </c>
      <c r="I88" s="49" t="s">
        <v>231</v>
      </c>
      <c r="J88" s="49" t="s">
        <v>72</v>
      </c>
      <c r="K88" s="49" t="s">
        <v>59</v>
      </c>
      <c r="L88" s="49"/>
      <c r="M88" s="50"/>
      <c r="N88" s="49"/>
      <c r="O88" s="49"/>
      <c r="P88" s="50"/>
      <c r="Q88" s="52" t="s">
        <v>1830</v>
      </c>
      <c r="R88" s="36"/>
      <c r="S88" s="47" t="s">
        <v>149</v>
      </c>
      <c r="T88" s="246">
        <v>1</v>
      </c>
      <c r="V88" s="47" t="s">
        <v>195</v>
      </c>
      <c r="W88" s="47" t="str">
        <f t="shared" si="1"/>
        <v/>
      </c>
      <c r="X88" s="47" t="s">
        <v>349</v>
      </c>
      <c r="Y88" s="47" t="s">
        <v>1833</v>
      </c>
      <c r="Z88" s="277"/>
    </row>
    <row r="89" spans="1:26" s="47" customFormat="1" ht="12" x14ac:dyDescent="0.2">
      <c r="A89" s="264">
        <v>500</v>
      </c>
      <c r="B89" s="48" t="s">
        <v>171</v>
      </c>
      <c r="C89" s="49" t="s">
        <v>454</v>
      </c>
      <c r="D89" s="50">
        <v>44641</v>
      </c>
      <c r="E89" s="49" t="s">
        <v>455</v>
      </c>
      <c r="F89" s="49" t="s">
        <v>70</v>
      </c>
      <c r="G89" s="49" t="s">
        <v>388</v>
      </c>
      <c r="H89" s="49" t="s">
        <v>46</v>
      </c>
      <c r="I89" s="49" t="s">
        <v>157</v>
      </c>
      <c r="J89" s="49" t="s">
        <v>388</v>
      </c>
      <c r="K89" s="49" t="s">
        <v>46</v>
      </c>
      <c r="L89" s="49"/>
      <c r="M89" s="50"/>
      <c r="N89" s="49"/>
      <c r="O89" s="49"/>
      <c r="P89" s="50"/>
      <c r="Q89" s="52"/>
      <c r="R89" s="36"/>
      <c r="S89" s="47" t="s">
        <v>149</v>
      </c>
      <c r="T89" s="246">
        <v>1</v>
      </c>
      <c r="V89" s="47" t="s">
        <v>150</v>
      </c>
      <c r="W89" s="47" t="str">
        <f t="shared" si="1"/>
        <v/>
      </c>
      <c r="X89" s="47" t="s">
        <v>1833</v>
      </c>
      <c r="Y89" s="47" t="s">
        <v>1833</v>
      </c>
      <c r="Z89" s="277">
        <v>45901</v>
      </c>
    </row>
    <row r="90" spans="1:26" s="47" customFormat="1" ht="12" x14ac:dyDescent="0.2">
      <c r="A90" s="264">
        <v>506</v>
      </c>
      <c r="B90" s="48" t="s">
        <v>456</v>
      </c>
      <c r="C90" s="48" t="s">
        <v>457</v>
      </c>
      <c r="D90" s="50">
        <v>44669</v>
      </c>
      <c r="E90" s="49" t="s">
        <v>458</v>
      </c>
      <c r="F90" s="49" t="s">
        <v>70</v>
      </c>
      <c r="G90" s="49" t="s">
        <v>124</v>
      </c>
      <c r="H90" s="49" t="s">
        <v>57</v>
      </c>
      <c r="I90" s="49" t="s">
        <v>238</v>
      </c>
      <c r="J90" s="49" t="s">
        <v>163</v>
      </c>
      <c r="K90" s="49" t="s">
        <v>57</v>
      </c>
      <c r="L90" s="49"/>
      <c r="M90" s="50"/>
      <c r="N90" s="49"/>
      <c r="O90" s="49"/>
      <c r="P90" s="50"/>
      <c r="Q90" s="52"/>
      <c r="R90" s="36"/>
      <c r="S90" s="47" t="s">
        <v>149</v>
      </c>
      <c r="T90" s="246">
        <v>1</v>
      </c>
      <c r="V90" s="47" t="s">
        <v>150</v>
      </c>
      <c r="W90" s="47" t="str">
        <f t="shared" si="1"/>
        <v/>
      </c>
      <c r="X90" s="47" t="s">
        <v>349</v>
      </c>
      <c r="Y90" s="47" t="s">
        <v>1833</v>
      </c>
      <c r="Z90" s="277"/>
    </row>
    <row r="91" spans="1:26" s="47" customFormat="1" ht="12" x14ac:dyDescent="0.2">
      <c r="A91" s="264">
        <v>509</v>
      </c>
      <c r="B91" s="48" t="s">
        <v>459</v>
      </c>
      <c r="C91" s="49" t="s">
        <v>460</v>
      </c>
      <c r="D91" s="50">
        <v>44704</v>
      </c>
      <c r="E91" s="49" t="s">
        <v>461</v>
      </c>
      <c r="F91" s="49" t="s">
        <v>70</v>
      </c>
      <c r="G91" s="49" t="s">
        <v>124</v>
      </c>
      <c r="H91" s="49" t="s">
        <v>46</v>
      </c>
      <c r="I91" s="49" t="s">
        <v>157</v>
      </c>
      <c r="J91" s="49" t="s">
        <v>462</v>
      </c>
      <c r="K91" s="49" t="s">
        <v>46</v>
      </c>
      <c r="L91" s="49"/>
      <c r="M91" s="50"/>
      <c r="N91" s="49"/>
      <c r="O91" s="49"/>
      <c r="P91" s="50"/>
      <c r="Q91" s="52"/>
      <c r="R91" s="36"/>
      <c r="S91" s="47" t="s">
        <v>149</v>
      </c>
      <c r="T91" s="246">
        <v>1</v>
      </c>
      <c r="V91" s="47" t="s">
        <v>150</v>
      </c>
      <c r="W91" s="47" t="str">
        <f t="shared" si="1"/>
        <v/>
      </c>
      <c r="X91" s="47" t="s">
        <v>1833</v>
      </c>
      <c r="Y91" s="47" t="s">
        <v>1833</v>
      </c>
      <c r="Z91" s="277">
        <v>45901</v>
      </c>
    </row>
    <row r="92" spans="1:26" s="47" customFormat="1" ht="12" x14ac:dyDescent="0.2">
      <c r="A92" s="264">
        <v>513</v>
      </c>
      <c r="B92" s="48" t="s">
        <v>390</v>
      </c>
      <c r="C92" s="49" t="s">
        <v>463</v>
      </c>
      <c r="D92" s="50">
        <v>44718</v>
      </c>
      <c r="E92" s="49" t="s">
        <v>464</v>
      </c>
      <c r="F92" s="49" t="s">
        <v>70</v>
      </c>
      <c r="G92" s="49" t="s">
        <v>124</v>
      </c>
      <c r="H92" s="49" t="s">
        <v>61</v>
      </c>
      <c r="I92" s="49" t="s">
        <v>174</v>
      </c>
      <c r="J92" s="49" t="s">
        <v>249</v>
      </c>
      <c r="K92" s="49" t="s">
        <v>61</v>
      </c>
      <c r="L92" s="49" t="s">
        <v>465</v>
      </c>
      <c r="M92" s="50">
        <v>45616</v>
      </c>
      <c r="N92" s="49" t="s">
        <v>466</v>
      </c>
      <c r="O92" s="49" t="s">
        <v>467</v>
      </c>
      <c r="P92" s="50"/>
      <c r="Q92" s="52" t="s">
        <v>468</v>
      </c>
      <c r="R92" s="36"/>
      <c r="S92" s="47" t="s">
        <v>149</v>
      </c>
      <c r="T92" s="246">
        <v>1</v>
      </c>
      <c r="V92" s="47" t="s">
        <v>195</v>
      </c>
      <c r="W92" s="47" t="str">
        <f t="shared" si="1"/>
        <v/>
      </c>
      <c r="X92" s="47" t="s">
        <v>349</v>
      </c>
      <c r="Y92" s="47" t="s">
        <v>1833</v>
      </c>
      <c r="Z92" s="277"/>
    </row>
    <row r="93" spans="1:26" s="47" customFormat="1" ht="12" x14ac:dyDescent="0.2">
      <c r="A93" s="264">
        <v>515</v>
      </c>
      <c r="B93" s="48" t="s">
        <v>469</v>
      </c>
      <c r="C93" s="49" t="s">
        <v>470</v>
      </c>
      <c r="D93" s="50">
        <v>44725</v>
      </c>
      <c r="E93" s="49" t="s">
        <v>471</v>
      </c>
      <c r="F93" s="49" t="s">
        <v>70</v>
      </c>
      <c r="G93" s="49" t="s">
        <v>120</v>
      </c>
      <c r="H93" s="49" t="s">
        <v>46</v>
      </c>
      <c r="I93" s="49" t="s">
        <v>202</v>
      </c>
      <c r="J93" s="49" t="s">
        <v>203</v>
      </c>
      <c r="K93" s="49" t="s">
        <v>46</v>
      </c>
      <c r="L93" s="49"/>
      <c r="M93" s="50"/>
      <c r="N93" s="49"/>
      <c r="O93" s="49"/>
      <c r="P93" s="50"/>
      <c r="Q93" s="52"/>
      <c r="R93" s="36"/>
      <c r="S93" s="47" t="s">
        <v>149</v>
      </c>
      <c r="T93" s="246">
        <v>1</v>
      </c>
      <c r="V93" s="47" t="s">
        <v>195</v>
      </c>
      <c r="W93" s="47" t="str">
        <f t="shared" si="1"/>
        <v/>
      </c>
      <c r="X93" s="47" t="s">
        <v>349</v>
      </c>
      <c r="Y93" s="47" t="s">
        <v>349</v>
      </c>
      <c r="Z93" s="277">
        <v>45992</v>
      </c>
    </row>
    <row r="94" spans="1:26" s="47" customFormat="1" x14ac:dyDescent="0.2">
      <c r="A94" s="264">
        <v>518</v>
      </c>
      <c r="B94" s="17" t="s">
        <v>472</v>
      </c>
      <c r="C94" s="6" t="s">
        <v>473</v>
      </c>
      <c r="D94" s="7">
        <v>44729</v>
      </c>
      <c r="E94" s="49" t="s">
        <v>274</v>
      </c>
      <c r="F94" s="49" t="s">
        <v>75</v>
      </c>
      <c r="G94" s="49" t="s">
        <v>275</v>
      </c>
      <c r="H94" s="49" t="s">
        <v>62</v>
      </c>
      <c r="I94" s="49" t="s">
        <v>276</v>
      </c>
      <c r="J94" s="49" t="s">
        <v>277</v>
      </c>
      <c r="K94" s="49"/>
      <c r="L94" s="49"/>
      <c r="M94" s="50"/>
      <c r="N94" s="49"/>
      <c r="O94" s="49"/>
      <c r="P94" s="50"/>
      <c r="Q94" s="52"/>
      <c r="S94" s="2" t="s">
        <v>213</v>
      </c>
      <c r="T94" s="244">
        <v>0.5</v>
      </c>
      <c r="U94" s="47" t="s">
        <v>278</v>
      </c>
      <c r="V94" s="47" t="s">
        <v>150</v>
      </c>
      <c r="W94" s="47" t="str">
        <f t="shared" si="1"/>
        <v/>
      </c>
      <c r="X94" s="47" t="s">
        <v>349</v>
      </c>
      <c r="Y94" s="47" t="s">
        <v>1833</v>
      </c>
      <c r="Z94" s="277"/>
    </row>
    <row r="95" spans="1:26" s="47" customFormat="1" ht="12" hidden="1" x14ac:dyDescent="0.2">
      <c r="A95" s="264">
        <v>516</v>
      </c>
      <c r="B95" s="48" t="s">
        <v>474</v>
      </c>
      <c r="C95" s="49" t="s">
        <v>475</v>
      </c>
      <c r="D95" s="50">
        <v>44732</v>
      </c>
      <c r="E95" s="49" t="s">
        <v>476</v>
      </c>
      <c r="F95" s="49" t="s">
        <v>70</v>
      </c>
      <c r="G95" s="49" t="s">
        <v>119</v>
      </c>
      <c r="H95" s="49" t="s">
        <v>59</v>
      </c>
      <c r="I95" s="49" t="s">
        <v>194</v>
      </c>
      <c r="J95" s="49" t="s">
        <v>297</v>
      </c>
      <c r="K95" s="49" t="s">
        <v>59</v>
      </c>
      <c r="L95" s="49"/>
      <c r="M95" s="50"/>
      <c r="N95" s="49"/>
      <c r="O95" s="49"/>
      <c r="P95" s="50"/>
      <c r="Q95" s="52" t="s">
        <v>477</v>
      </c>
      <c r="R95" s="138">
        <v>45658</v>
      </c>
      <c r="S95" s="47" t="s">
        <v>149</v>
      </c>
      <c r="T95" s="246">
        <v>1</v>
      </c>
      <c r="V95" s="47" t="s">
        <v>150</v>
      </c>
      <c r="W95" s="47" t="str">
        <f t="shared" si="1"/>
        <v/>
      </c>
      <c r="X95" s="47" t="s">
        <v>349</v>
      </c>
      <c r="Y95" s="47" t="s">
        <v>1833</v>
      </c>
      <c r="Z95" s="277"/>
    </row>
    <row r="96" spans="1:26" s="47" customFormat="1" ht="12" x14ac:dyDescent="0.2">
      <c r="A96" s="264">
        <v>526</v>
      </c>
      <c r="B96" s="53" t="s">
        <v>478</v>
      </c>
      <c r="C96" s="54" t="s">
        <v>479</v>
      </c>
      <c r="D96" s="50">
        <v>44774</v>
      </c>
      <c r="E96" s="49" t="s">
        <v>480</v>
      </c>
      <c r="F96" s="49" t="s">
        <v>72</v>
      </c>
      <c r="G96" s="49" t="s">
        <v>123</v>
      </c>
      <c r="H96" s="49" t="s">
        <v>57</v>
      </c>
      <c r="I96" s="49" t="s">
        <v>481</v>
      </c>
      <c r="J96" s="49" t="s">
        <v>72</v>
      </c>
      <c r="K96" s="49" t="s">
        <v>57</v>
      </c>
      <c r="L96" s="49"/>
      <c r="M96" s="50"/>
      <c r="N96" s="49"/>
      <c r="O96" s="49"/>
      <c r="P96" s="50"/>
      <c r="Q96" s="52"/>
      <c r="R96" s="36"/>
      <c r="S96" s="47" t="s">
        <v>149</v>
      </c>
      <c r="T96" s="246">
        <v>1</v>
      </c>
      <c r="V96" s="47" t="s">
        <v>195</v>
      </c>
      <c r="W96" s="47" t="str">
        <f t="shared" si="1"/>
        <v/>
      </c>
      <c r="X96" s="47" t="s">
        <v>349</v>
      </c>
      <c r="Y96" s="47" t="s">
        <v>1833</v>
      </c>
      <c r="Z96" s="277"/>
    </row>
    <row r="97" spans="1:26" s="47" customFormat="1" ht="12" x14ac:dyDescent="0.2">
      <c r="A97" s="264">
        <v>532</v>
      </c>
      <c r="B97" s="53" t="s">
        <v>482</v>
      </c>
      <c r="C97" s="54" t="s">
        <v>307</v>
      </c>
      <c r="D97" s="50">
        <v>44788</v>
      </c>
      <c r="E97" s="49" t="s">
        <v>318</v>
      </c>
      <c r="F97" s="49" t="s">
        <v>70</v>
      </c>
      <c r="G97" s="49" t="s">
        <v>122</v>
      </c>
      <c r="H97" s="49" t="s">
        <v>61</v>
      </c>
      <c r="I97" s="49" t="s">
        <v>400</v>
      </c>
      <c r="J97" s="49" t="s">
        <v>380</v>
      </c>
      <c r="K97" s="49" t="s">
        <v>61</v>
      </c>
      <c r="L97" s="49"/>
      <c r="M97" s="50"/>
      <c r="N97" s="49"/>
      <c r="O97" s="49"/>
      <c r="P97" s="50"/>
      <c r="Q97" s="52"/>
      <c r="R97" s="36"/>
      <c r="S97" s="47" t="s">
        <v>149</v>
      </c>
      <c r="T97" s="246">
        <v>1</v>
      </c>
      <c r="V97" s="47" t="s">
        <v>150</v>
      </c>
      <c r="W97" s="47" t="str">
        <f t="shared" si="1"/>
        <v/>
      </c>
      <c r="X97" s="47" t="s">
        <v>349</v>
      </c>
      <c r="Y97" s="47" t="s">
        <v>1833</v>
      </c>
      <c r="Z97" s="277"/>
    </row>
    <row r="98" spans="1:26" s="47" customFormat="1" ht="12" x14ac:dyDescent="0.2">
      <c r="A98" s="264">
        <v>534</v>
      </c>
      <c r="B98" s="48" t="s">
        <v>483</v>
      </c>
      <c r="C98" s="49" t="s">
        <v>484</v>
      </c>
      <c r="D98" s="50">
        <v>44790</v>
      </c>
      <c r="E98" s="49" t="s">
        <v>372</v>
      </c>
      <c r="F98" s="49" t="s">
        <v>70</v>
      </c>
      <c r="G98" s="49" t="s">
        <v>120</v>
      </c>
      <c r="H98" s="49" t="s">
        <v>61</v>
      </c>
      <c r="I98" s="49" t="s">
        <v>314</v>
      </c>
      <c r="J98" s="49" t="s">
        <v>249</v>
      </c>
      <c r="K98" s="49" t="s">
        <v>61</v>
      </c>
      <c r="L98" s="49"/>
      <c r="M98" s="50"/>
      <c r="N98" s="49"/>
      <c r="O98" s="49" t="s">
        <v>249</v>
      </c>
      <c r="P98" s="50"/>
      <c r="Q98" s="52"/>
      <c r="R98" s="138">
        <v>45835</v>
      </c>
      <c r="S98" s="47" t="s">
        <v>149</v>
      </c>
      <c r="T98" s="246">
        <v>1</v>
      </c>
      <c r="V98" s="47" t="s">
        <v>150</v>
      </c>
      <c r="W98" s="47" t="str">
        <f t="shared" si="1"/>
        <v/>
      </c>
      <c r="X98" s="47" t="s">
        <v>349</v>
      </c>
      <c r="Y98" s="47" t="s">
        <v>1833</v>
      </c>
      <c r="Z98" s="277"/>
    </row>
    <row r="99" spans="1:26" s="47" customFormat="1" ht="12" hidden="1" x14ac:dyDescent="0.2">
      <c r="A99" s="264">
        <v>535</v>
      </c>
      <c r="B99" s="130" t="s">
        <v>485</v>
      </c>
      <c r="C99" s="100" t="s">
        <v>225</v>
      </c>
      <c r="D99" s="50">
        <v>44795</v>
      </c>
      <c r="E99" s="49" t="s">
        <v>486</v>
      </c>
      <c r="F99" s="100" t="s">
        <v>70</v>
      </c>
      <c r="G99" s="100" t="s">
        <v>227</v>
      </c>
      <c r="H99" s="49" t="s">
        <v>56</v>
      </c>
      <c r="I99" s="100" t="s">
        <v>221</v>
      </c>
      <c r="J99" s="49"/>
      <c r="K99" s="100" t="s">
        <v>223</v>
      </c>
      <c r="L99" s="147"/>
      <c r="M99" s="131"/>
      <c r="N99" s="100" t="s">
        <v>227</v>
      </c>
      <c r="O99" s="100"/>
      <c r="P99" s="131"/>
      <c r="Q99" s="133"/>
      <c r="R99" s="135">
        <v>45496</v>
      </c>
      <c r="T99" s="246">
        <v>1</v>
      </c>
      <c r="V99" s="47" t="s">
        <v>195</v>
      </c>
      <c r="W99" s="47" t="str">
        <f t="shared" si="1"/>
        <v/>
      </c>
      <c r="X99" s="47" t="s">
        <v>349</v>
      </c>
      <c r="Y99" s="47" t="s">
        <v>1833</v>
      </c>
      <c r="Z99" s="277"/>
    </row>
    <row r="100" spans="1:26" s="47" customFormat="1" ht="12" hidden="1" x14ac:dyDescent="0.2">
      <c r="A100" s="264">
        <v>543</v>
      </c>
      <c r="B100" s="48" t="s">
        <v>487</v>
      </c>
      <c r="C100" s="49" t="s">
        <v>488</v>
      </c>
      <c r="D100" s="50">
        <v>44816</v>
      </c>
      <c r="E100" s="49" t="s">
        <v>489</v>
      </c>
      <c r="F100" s="49" t="s">
        <v>72</v>
      </c>
      <c r="G100" s="49" t="s">
        <v>347</v>
      </c>
      <c r="H100" s="49" t="s">
        <v>57</v>
      </c>
      <c r="I100" s="49" t="s">
        <v>490</v>
      </c>
      <c r="J100" s="49"/>
      <c r="K100" s="49" t="s">
        <v>57</v>
      </c>
      <c r="L100" s="49"/>
      <c r="M100" s="50"/>
      <c r="N100" s="49"/>
      <c r="O100" s="49"/>
      <c r="P100" s="50"/>
      <c r="Q100" s="52"/>
      <c r="R100" s="138">
        <v>45576</v>
      </c>
      <c r="T100" s="246">
        <v>1</v>
      </c>
      <c r="V100" s="47" t="e">
        <v>#N/A</v>
      </c>
      <c r="W100" s="47" t="str">
        <f t="shared" si="1"/>
        <v/>
      </c>
      <c r="X100" s="47" t="s">
        <v>349</v>
      </c>
      <c r="Y100" s="47" t="s">
        <v>1833</v>
      </c>
      <c r="Z100" s="277"/>
    </row>
    <row r="101" spans="1:26" s="47" customFormat="1" ht="12" x14ac:dyDescent="0.2">
      <c r="A101" s="264">
        <v>542</v>
      </c>
      <c r="B101" s="53" t="s">
        <v>491</v>
      </c>
      <c r="C101" s="54" t="s">
        <v>492</v>
      </c>
      <c r="D101" s="50">
        <v>44816</v>
      </c>
      <c r="E101" s="49" t="s">
        <v>372</v>
      </c>
      <c r="F101" s="49" t="s">
        <v>70</v>
      </c>
      <c r="G101" s="49" t="s">
        <v>120</v>
      </c>
      <c r="H101" s="49" t="s">
        <v>57</v>
      </c>
      <c r="I101" s="49" t="s">
        <v>231</v>
      </c>
      <c r="J101" s="49" t="s">
        <v>72</v>
      </c>
      <c r="K101" s="49" t="s">
        <v>57</v>
      </c>
      <c r="L101" s="49"/>
      <c r="M101" s="50"/>
      <c r="N101" s="49"/>
      <c r="O101" s="49"/>
      <c r="P101" s="50"/>
      <c r="Q101" s="52"/>
      <c r="R101" s="36"/>
      <c r="S101" s="47" t="s">
        <v>149</v>
      </c>
      <c r="T101" s="246">
        <v>1</v>
      </c>
      <c r="V101" s="47" t="s">
        <v>150</v>
      </c>
      <c r="W101" s="47" t="str">
        <f t="shared" si="1"/>
        <v/>
      </c>
      <c r="X101" s="47" t="s">
        <v>349</v>
      </c>
      <c r="Y101" s="47" t="s">
        <v>1833</v>
      </c>
      <c r="Z101" s="277"/>
    </row>
    <row r="102" spans="1:26" s="47" customFormat="1" ht="12" hidden="1" x14ac:dyDescent="0.2">
      <c r="A102" s="264">
        <v>545</v>
      </c>
      <c r="B102" s="48" t="s">
        <v>493</v>
      </c>
      <c r="C102" s="49" t="s">
        <v>494</v>
      </c>
      <c r="D102" s="50">
        <v>44823</v>
      </c>
      <c r="E102" s="49" t="s">
        <v>173</v>
      </c>
      <c r="F102" s="49" t="s">
        <v>70</v>
      </c>
      <c r="G102" s="49" t="s">
        <v>347</v>
      </c>
      <c r="H102" s="49" t="s">
        <v>57</v>
      </c>
      <c r="I102" s="49" t="s">
        <v>238</v>
      </c>
      <c r="J102" s="49" t="s">
        <v>239</v>
      </c>
      <c r="K102" s="49" t="s">
        <v>57</v>
      </c>
      <c r="L102" s="49"/>
      <c r="M102" s="50"/>
      <c r="N102" s="49"/>
      <c r="O102" s="49"/>
      <c r="P102" s="50"/>
      <c r="Q102" s="52"/>
      <c r="R102" s="138">
        <v>45702</v>
      </c>
      <c r="S102" s="47" t="s">
        <v>149</v>
      </c>
      <c r="T102" s="246">
        <v>1</v>
      </c>
      <c r="V102" s="47" t="s">
        <v>195</v>
      </c>
      <c r="W102" s="47" t="str">
        <f t="shared" si="1"/>
        <v/>
      </c>
      <c r="X102" s="47" t="s">
        <v>349</v>
      </c>
      <c r="Y102" s="47" t="s">
        <v>1833</v>
      </c>
      <c r="Z102" s="277"/>
    </row>
    <row r="103" spans="1:26" s="47" customFormat="1" ht="12" x14ac:dyDescent="0.2">
      <c r="A103" s="264">
        <v>523</v>
      </c>
      <c r="B103" s="48" t="s">
        <v>495</v>
      </c>
      <c r="C103" s="49" t="s">
        <v>496</v>
      </c>
      <c r="D103" s="50">
        <v>44823</v>
      </c>
      <c r="E103" s="49" t="s">
        <v>181</v>
      </c>
      <c r="F103" s="49" t="s">
        <v>70</v>
      </c>
      <c r="G103" s="49" t="s">
        <v>120</v>
      </c>
      <c r="H103" s="49" t="s">
        <v>61</v>
      </c>
      <c r="I103" s="49" t="s">
        <v>314</v>
      </c>
      <c r="J103" s="49" t="s">
        <v>175</v>
      </c>
      <c r="K103" s="49" t="s">
        <v>61</v>
      </c>
      <c r="L103" s="49"/>
      <c r="M103" s="50"/>
      <c r="N103" s="49"/>
      <c r="O103" s="49"/>
      <c r="P103" s="50"/>
      <c r="Q103" s="52" t="s">
        <v>497</v>
      </c>
      <c r="R103" s="36"/>
      <c r="S103" s="47" t="s">
        <v>149</v>
      </c>
      <c r="T103" s="246">
        <v>1</v>
      </c>
      <c r="V103" s="47" t="s">
        <v>150</v>
      </c>
      <c r="W103" s="47" t="str">
        <f t="shared" si="1"/>
        <v/>
      </c>
      <c r="X103" s="47" t="s">
        <v>349</v>
      </c>
      <c r="Y103" s="47" t="s">
        <v>1833</v>
      </c>
      <c r="Z103" s="277"/>
    </row>
    <row r="104" spans="1:26" s="47" customFormat="1" ht="12" x14ac:dyDescent="0.2">
      <c r="A104" s="264">
        <v>546</v>
      </c>
      <c r="B104" s="48" t="s">
        <v>498</v>
      </c>
      <c r="C104" s="49" t="s">
        <v>499</v>
      </c>
      <c r="D104" s="50">
        <v>44823</v>
      </c>
      <c r="E104" s="49" t="s">
        <v>464</v>
      </c>
      <c r="F104" s="49"/>
      <c r="G104" s="49"/>
      <c r="H104" s="49" t="s">
        <v>57</v>
      </c>
      <c r="I104" s="49"/>
      <c r="J104" s="49"/>
      <c r="K104" s="52" t="s">
        <v>500</v>
      </c>
      <c r="L104" s="138"/>
      <c r="M104" s="47" t="s">
        <v>213</v>
      </c>
      <c r="N104" s="246">
        <v>0.53</v>
      </c>
      <c r="O104" s="47" t="s">
        <v>349</v>
      </c>
      <c r="P104" s="50"/>
      <c r="Q104" s="52"/>
      <c r="R104" s="138">
        <v>45960</v>
      </c>
      <c r="T104" s="246"/>
      <c r="V104" s="47" t="s">
        <v>195</v>
      </c>
      <c r="X104" s="47" t="s">
        <v>349</v>
      </c>
      <c r="Y104" s="47" t="s">
        <v>1833</v>
      </c>
      <c r="Z104" s="277"/>
    </row>
    <row r="105" spans="1:26" s="47" customFormat="1" ht="12" x14ac:dyDescent="0.2">
      <c r="A105" s="264" t="s">
        <v>501</v>
      </c>
      <c r="B105" s="48" t="s">
        <v>498</v>
      </c>
      <c r="C105" s="49" t="s">
        <v>499</v>
      </c>
      <c r="D105" s="50">
        <v>44823</v>
      </c>
      <c r="E105" s="49" t="s">
        <v>502</v>
      </c>
      <c r="F105" s="49" t="s">
        <v>70</v>
      </c>
      <c r="G105" s="49" t="s">
        <v>55</v>
      </c>
      <c r="H105" s="49" t="s">
        <v>55</v>
      </c>
      <c r="I105" s="49" t="s">
        <v>329</v>
      </c>
      <c r="J105" s="49" t="s">
        <v>55</v>
      </c>
      <c r="K105" s="49" t="s">
        <v>57</v>
      </c>
      <c r="L105" s="49"/>
      <c r="M105" s="50"/>
      <c r="N105" s="49"/>
      <c r="O105" s="49"/>
      <c r="P105" s="50"/>
      <c r="Q105" s="52" t="s">
        <v>500</v>
      </c>
      <c r="R105" s="138"/>
      <c r="S105" s="47" t="s">
        <v>213</v>
      </c>
      <c r="T105" s="246">
        <v>0.53</v>
      </c>
      <c r="U105" s="47" t="s">
        <v>349</v>
      </c>
      <c r="V105" s="47" t="s">
        <v>195</v>
      </c>
      <c r="W105" s="47" t="str">
        <f t="shared" si="1"/>
        <v/>
      </c>
      <c r="X105" s="47" t="s">
        <v>1833</v>
      </c>
      <c r="Y105" s="47" t="s">
        <v>1833</v>
      </c>
      <c r="Z105" s="277">
        <v>45931</v>
      </c>
    </row>
    <row r="106" spans="1:26" s="47" customFormat="1" ht="12" x14ac:dyDescent="0.2">
      <c r="A106" s="264">
        <v>549</v>
      </c>
      <c r="B106" s="48" t="s">
        <v>503</v>
      </c>
      <c r="C106" s="49" t="s">
        <v>504</v>
      </c>
      <c r="D106" s="50">
        <v>44844</v>
      </c>
      <c r="E106" s="49" t="s">
        <v>505</v>
      </c>
      <c r="F106" s="49" t="s">
        <v>70</v>
      </c>
      <c r="G106" s="49" t="s">
        <v>121</v>
      </c>
      <c r="H106" s="49" t="s">
        <v>61</v>
      </c>
      <c r="I106" s="49" t="s">
        <v>194</v>
      </c>
      <c r="J106" s="49" t="s">
        <v>419</v>
      </c>
      <c r="K106" s="49" t="s">
        <v>61</v>
      </c>
      <c r="L106" s="49"/>
      <c r="M106" s="50"/>
      <c r="N106" s="49"/>
      <c r="O106" s="49"/>
      <c r="P106" s="50"/>
      <c r="Q106" s="52"/>
      <c r="R106" s="36"/>
      <c r="S106" s="47" t="s">
        <v>149</v>
      </c>
      <c r="T106" s="246">
        <v>1</v>
      </c>
      <c r="V106" s="47" t="s">
        <v>150</v>
      </c>
      <c r="W106" s="47" t="str">
        <f t="shared" si="1"/>
        <v/>
      </c>
      <c r="X106" s="47" t="s">
        <v>349</v>
      </c>
      <c r="Y106" s="47" t="s">
        <v>1833</v>
      </c>
      <c r="Z106" s="277"/>
    </row>
    <row r="107" spans="1:26" s="47" customFormat="1" ht="12" x14ac:dyDescent="0.2">
      <c r="A107" s="264">
        <v>550</v>
      </c>
      <c r="B107" s="53" t="s">
        <v>506</v>
      </c>
      <c r="C107" s="54" t="s">
        <v>507</v>
      </c>
      <c r="D107" s="50">
        <v>44844</v>
      </c>
      <c r="E107" s="49" t="s">
        <v>508</v>
      </c>
      <c r="F107" s="49" t="s">
        <v>72</v>
      </c>
      <c r="G107" s="49" t="s">
        <v>118</v>
      </c>
      <c r="H107" s="49" t="s">
        <v>57</v>
      </c>
      <c r="I107" s="49" t="s">
        <v>423</v>
      </c>
      <c r="J107" s="49" t="s">
        <v>72</v>
      </c>
      <c r="K107" s="49" t="s">
        <v>57</v>
      </c>
      <c r="L107" s="49"/>
      <c r="M107" s="50"/>
      <c r="N107" s="49"/>
      <c r="O107" s="49"/>
      <c r="P107" s="50"/>
      <c r="Q107" s="52"/>
      <c r="R107" s="36"/>
      <c r="S107" s="47" t="s">
        <v>149</v>
      </c>
      <c r="T107" s="246">
        <v>1</v>
      </c>
      <c r="V107" s="47" t="s">
        <v>150</v>
      </c>
      <c r="W107" s="47" t="str">
        <f t="shared" si="1"/>
        <v/>
      </c>
      <c r="X107" s="47" t="s">
        <v>349</v>
      </c>
      <c r="Y107" s="47" t="s">
        <v>1833</v>
      </c>
      <c r="Z107" s="277"/>
    </row>
    <row r="108" spans="1:26" s="47" customFormat="1" ht="12" x14ac:dyDescent="0.2">
      <c r="A108" s="264">
        <v>552</v>
      </c>
      <c r="B108" s="48" t="s">
        <v>509</v>
      </c>
      <c r="C108" s="49" t="s">
        <v>510</v>
      </c>
      <c r="D108" s="50">
        <v>44851</v>
      </c>
      <c r="E108" s="49" t="s">
        <v>511</v>
      </c>
      <c r="F108" s="49" t="s">
        <v>70</v>
      </c>
      <c r="G108" s="49" t="s">
        <v>120</v>
      </c>
      <c r="H108" s="49" t="s">
        <v>106</v>
      </c>
      <c r="I108" s="49" t="s">
        <v>512</v>
      </c>
      <c r="J108" s="49" t="s">
        <v>513</v>
      </c>
      <c r="K108" s="49" t="s">
        <v>46</v>
      </c>
      <c r="L108" s="49"/>
      <c r="M108" s="50"/>
      <c r="N108" s="49"/>
      <c r="O108" s="49"/>
      <c r="P108" s="50"/>
      <c r="Q108" s="52"/>
      <c r="R108" s="36"/>
      <c r="S108" s="47" t="s">
        <v>149</v>
      </c>
      <c r="T108" s="246">
        <v>1</v>
      </c>
      <c r="V108" s="47" t="s">
        <v>150</v>
      </c>
      <c r="W108" s="47" t="str">
        <f t="shared" si="1"/>
        <v/>
      </c>
      <c r="X108" s="47" t="s">
        <v>349</v>
      </c>
      <c r="Y108" s="47" t="s">
        <v>278</v>
      </c>
      <c r="Z108" s="277">
        <v>45992</v>
      </c>
    </row>
    <row r="109" spans="1:26" s="47" customFormat="1" ht="12" x14ac:dyDescent="0.2">
      <c r="A109" s="264">
        <v>553</v>
      </c>
      <c r="B109" s="48" t="s">
        <v>514</v>
      </c>
      <c r="C109" s="49" t="s">
        <v>515</v>
      </c>
      <c r="D109" s="50">
        <v>44859</v>
      </c>
      <c r="E109" s="49" t="s">
        <v>169</v>
      </c>
      <c r="F109" s="49" t="s">
        <v>70</v>
      </c>
      <c r="G109" s="49" t="s">
        <v>120</v>
      </c>
      <c r="H109" s="49" t="s">
        <v>46</v>
      </c>
      <c r="I109" s="49" t="s">
        <v>170</v>
      </c>
      <c r="J109" s="49" t="s">
        <v>158</v>
      </c>
      <c r="K109" s="49" t="s">
        <v>46</v>
      </c>
      <c r="L109" s="49"/>
      <c r="M109" s="50"/>
      <c r="N109" s="49"/>
      <c r="O109" s="49"/>
      <c r="P109" s="50"/>
      <c r="Q109" s="52" t="s">
        <v>516</v>
      </c>
      <c r="R109" s="36"/>
      <c r="S109" s="47" t="s">
        <v>149</v>
      </c>
      <c r="T109" s="246">
        <v>1</v>
      </c>
      <c r="V109" s="47" t="s">
        <v>150</v>
      </c>
      <c r="W109" s="47" t="str">
        <f t="shared" si="1"/>
        <v/>
      </c>
      <c r="X109" s="47" t="s">
        <v>349</v>
      </c>
      <c r="Y109" s="47" t="s">
        <v>349</v>
      </c>
      <c r="Z109" s="277">
        <v>45992</v>
      </c>
    </row>
    <row r="110" spans="1:26" s="47" customFormat="1" ht="12" hidden="1" x14ac:dyDescent="0.2">
      <c r="A110" s="264">
        <v>560</v>
      </c>
      <c r="B110" s="130" t="s">
        <v>517</v>
      </c>
      <c r="C110" s="100" t="s">
        <v>518</v>
      </c>
      <c r="D110" s="50">
        <v>44879</v>
      </c>
      <c r="E110" s="49" t="s">
        <v>432</v>
      </c>
      <c r="F110" s="100" t="s">
        <v>70</v>
      </c>
      <c r="G110" s="100"/>
      <c r="H110" s="49" t="s">
        <v>57</v>
      </c>
      <c r="I110" s="100" t="s">
        <v>162</v>
      </c>
      <c r="J110" s="49"/>
      <c r="K110" s="100" t="s">
        <v>57</v>
      </c>
      <c r="L110" s="147"/>
      <c r="M110" s="131"/>
      <c r="N110" s="100" t="s">
        <v>239</v>
      </c>
      <c r="O110" s="100"/>
      <c r="P110" s="131"/>
      <c r="Q110" s="133" t="s">
        <v>519</v>
      </c>
      <c r="R110" s="129">
        <v>45449</v>
      </c>
      <c r="T110" s="246">
        <v>1</v>
      </c>
      <c r="V110" s="47" t="s">
        <v>150</v>
      </c>
      <c r="W110" s="47" t="str">
        <f t="shared" si="1"/>
        <v/>
      </c>
      <c r="X110" s="47" t="s">
        <v>349</v>
      </c>
      <c r="Y110" s="47" t="s">
        <v>1833</v>
      </c>
      <c r="Z110" s="277"/>
    </row>
    <row r="111" spans="1:26" s="47" customFormat="1" ht="12" hidden="1" x14ac:dyDescent="0.2">
      <c r="A111" s="264">
        <v>563</v>
      </c>
      <c r="B111" s="48" t="s">
        <v>520</v>
      </c>
      <c r="C111" s="49" t="s">
        <v>521</v>
      </c>
      <c r="D111" s="50">
        <v>44879</v>
      </c>
      <c r="E111" s="49" t="s">
        <v>372</v>
      </c>
      <c r="F111" s="49" t="s">
        <v>70</v>
      </c>
      <c r="G111" s="49" t="s">
        <v>120</v>
      </c>
      <c r="H111" s="49" t="s">
        <v>57</v>
      </c>
      <c r="I111" s="49" t="s">
        <v>231</v>
      </c>
      <c r="J111" s="49" t="s">
        <v>72</v>
      </c>
      <c r="K111" s="49" t="s">
        <v>57</v>
      </c>
      <c r="L111" s="49"/>
      <c r="M111" s="50"/>
      <c r="N111" s="49"/>
      <c r="O111" s="49"/>
      <c r="P111" s="50"/>
      <c r="Q111" s="52"/>
      <c r="R111" s="138">
        <v>45667</v>
      </c>
      <c r="S111" s="47" t="s">
        <v>149</v>
      </c>
      <c r="T111" s="246">
        <v>1</v>
      </c>
      <c r="V111" s="47" t="s">
        <v>150</v>
      </c>
      <c r="W111" s="47" t="str">
        <f t="shared" si="1"/>
        <v/>
      </c>
      <c r="X111" s="47" t="s">
        <v>349</v>
      </c>
      <c r="Y111" s="47" t="s">
        <v>1833</v>
      </c>
      <c r="Z111" s="277"/>
    </row>
    <row r="112" spans="1:26" s="47" customFormat="1" ht="12" x14ac:dyDescent="0.2">
      <c r="A112" s="264">
        <v>565</v>
      </c>
      <c r="B112" s="48" t="s">
        <v>522</v>
      </c>
      <c r="C112" s="49" t="s">
        <v>523</v>
      </c>
      <c r="D112" s="50">
        <v>44879</v>
      </c>
      <c r="E112" s="49" t="s">
        <v>318</v>
      </c>
      <c r="F112" s="49" t="s">
        <v>70</v>
      </c>
      <c r="G112" s="49" t="s">
        <v>122</v>
      </c>
      <c r="H112" s="49" t="s">
        <v>61</v>
      </c>
      <c r="I112" s="49" t="s">
        <v>400</v>
      </c>
      <c r="J112" s="49" t="s">
        <v>343</v>
      </c>
      <c r="K112" s="49" t="s">
        <v>59</v>
      </c>
      <c r="L112" s="49" t="s">
        <v>61</v>
      </c>
      <c r="M112" s="50">
        <v>45467</v>
      </c>
      <c r="N112" s="49" t="s">
        <v>392</v>
      </c>
      <c r="O112" s="49" t="s">
        <v>175</v>
      </c>
      <c r="P112" s="50"/>
      <c r="Q112" s="52" t="s">
        <v>524</v>
      </c>
      <c r="R112" s="36"/>
      <c r="S112" s="47" t="s">
        <v>149</v>
      </c>
      <c r="T112" s="246">
        <v>1</v>
      </c>
      <c r="V112" s="47" t="s">
        <v>150</v>
      </c>
      <c r="W112" s="47" t="str">
        <f t="shared" si="1"/>
        <v/>
      </c>
      <c r="X112" s="47" t="s">
        <v>349</v>
      </c>
      <c r="Y112" s="47" t="s">
        <v>1833</v>
      </c>
      <c r="Z112" s="277"/>
    </row>
    <row r="113" spans="1:26" s="47" customFormat="1" ht="12" x14ac:dyDescent="0.2">
      <c r="A113" s="264">
        <v>556</v>
      </c>
      <c r="B113" s="48" t="s">
        <v>525</v>
      </c>
      <c r="C113" s="49" t="s">
        <v>526</v>
      </c>
      <c r="D113" s="50">
        <v>44879</v>
      </c>
      <c r="E113" s="49" t="s">
        <v>372</v>
      </c>
      <c r="F113" s="49" t="s">
        <v>70</v>
      </c>
      <c r="G113" s="49" t="s">
        <v>120</v>
      </c>
      <c r="H113" s="49" t="s">
        <v>57</v>
      </c>
      <c r="I113" s="49" t="s">
        <v>231</v>
      </c>
      <c r="J113" s="49" t="s">
        <v>72</v>
      </c>
      <c r="K113" s="49" t="s">
        <v>57</v>
      </c>
      <c r="L113" s="49"/>
      <c r="M113" s="50"/>
      <c r="N113" s="49"/>
      <c r="O113" s="49"/>
      <c r="P113" s="50"/>
      <c r="Q113" s="52"/>
      <c r="R113" s="36"/>
      <c r="S113" s="47" t="s">
        <v>149</v>
      </c>
      <c r="T113" s="246">
        <v>1</v>
      </c>
      <c r="V113" s="47" t="s">
        <v>150</v>
      </c>
      <c r="W113" s="47" t="str">
        <f t="shared" si="1"/>
        <v/>
      </c>
      <c r="X113" s="47" t="s">
        <v>349</v>
      </c>
      <c r="Y113" s="47" t="s">
        <v>1833</v>
      </c>
      <c r="Z113" s="277"/>
    </row>
    <row r="114" spans="1:26" s="47" customFormat="1" ht="12" x14ac:dyDescent="0.2">
      <c r="A114" s="264">
        <v>559</v>
      </c>
      <c r="B114" s="48" t="s">
        <v>527</v>
      </c>
      <c r="C114" s="49" t="s">
        <v>528</v>
      </c>
      <c r="D114" s="50">
        <v>44879</v>
      </c>
      <c r="E114" s="49" t="s">
        <v>529</v>
      </c>
      <c r="F114" s="49" t="s">
        <v>70</v>
      </c>
      <c r="G114" s="49" t="s">
        <v>120</v>
      </c>
      <c r="H114" s="49" t="s">
        <v>106</v>
      </c>
      <c r="I114" s="49" t="s">
        <v>512</v>
      </c>
      <c r="J114" s="49" t="s">
        <v>513</v>
      </c>
      <c r="K114" s="49" t="s">
        <v>46</v>
      </c>
      <c r="L114" s="49"/>
      <c r="M114" s="50"/>
      <c r="N114" s="49"/>
      <c r="O114" s="49"/>
      <c r="P114" s="50"/>
      <c r="Q114" s="52"/>
      <c r="R114" s="36"/>
      <c r="S114" s="47" t="s">
        <v>149</v>
      </c>
      <c r="T114" s="246">
        <v>1</v>
      </c>
      <c r="V114" s="47" t="s">
        <v>150</v>
      </c>
      <c r="W114" s="47" t="str">
        <f t="shared" si="1"/>
        <v/>
      </c>
      <c r="X114" s="47" t="s">
        <v>349</v>
      </c>
      <c r="Y114" s="47" t="s">
        <v>349</v>
      </c>
      <c r="Z114" s="277">
        <v>45992</v>
      </c>
    </row>
    <row r="115" spans="1:26" s="47" customFormat="1" ht="12" x14ac:dyDescent="0.2">
      <c r="A115" s="264">
        <v>566</v>
      </c>
      <c r="B115" s="48" t="s">
        <v>530</v>
      </c>
      <c r="C115" s="49" t="s">
        <v>531</v>
      </c>
      <c r="D115" s="50">
        <v>44879</v>
      </c>
      <c r="E115" s="49" t="s">
        <v>318</v>
      </c>
      <c r="F115" s="49" t="s">
        <v>70</v>
      </c>
      <c r="G115" s="49" t="s">
        <v>122</v>
      </c>
      <c r="H115" s="49" t="s">
        <v>57</v>
      </c>
      <c r="I115" s="49" t="s">
        <v>263</v>
      </c>
      <c r="J115" s="49" t="s">
        <v>72</v>
      </c>
      <c r="K115" s="49" t="s">
        <v>57</v>
      </c>
      <c r="L115" s="49"/>
      <c r="M115" s="50"/>
      <c r="N115" s="49"/>
      <c r="O115" s="49"/>
      <c r="P115" s="50"/>
      <c r="Q115" s="52"/>
      <c r="R115" s="36"/>
      <c r="S115" s="47" t="s">
        <v>149</v>
      </c>
      <c r="T115" s="246">
        <v>1</v>
      </c>
      <c r="V115" s="47" t="s">
        <v>195</v>
      </c>
      <c r="W115" s="47" t="str">
        <f t="shared" si="1"/>
        <v/>
      </c>
      <c r="X115" s="47" t="s">
        <v>349</v>
      </c>
      <c r="Y115" s="47" t="s">
        <v>1833</v>
      </c>
      <c r="Z115" s="277"/>
    </row>
    <row r="116" spans="1:26" s="47" customFormat="1" ht="12" x14ac:dyDescent="0.2">
      <c r="A116" s="264">
        <v>568</v>
      </c>
      <c r="B116" s="48" t="s">
        <v>532</v>
      </c>
      <c r="C116" s="49" t="s">
        <v>533</v>
      </c>
      <c r="D116" s="50">
        <v>44879</v>
      </c>
      <c r="E116" s="49" t="s">
        <v>361</v>
      </c>
      <c r="F116" s="49" t="s">
        <v>70</v>
      </c>
      <c r="G116" s="49" t="s">
        <v>122</v>
      </c>
      <c r="H116" s="49" t="s">
        <v>106</v>
      </c>
      <c r="I116" s="49" t="s">
        <v>512</v>
      </c>
      <c r="J116" s="49" t="s">
        <v>513</v>
      </c>
      <c r="K116" s="49" t="s">
        <v>46</v>
      </c>
      <c r="L116" s="49"/>
      <c r="M116" s="50"/>
      <c r="N116" s="49"/>
      <c r="O116" s="49"/>
      <c r="P116" s="50"/>
      <c r="Q116" s="52"/>
      <c r="R116" s="36"/>
      <c r="S116" s="47" t="s">
        <v>149</v>
      </c>
      <c r="T116" s="246">
        <v>1</v>
      </c>
      <c r="V116" s="47" t="s">
        <v>150</v>
      </c>
      <c r="W116" s="47" t="str">
        <f t="shared" si="1"/>
        <v/>
      </c>
      <c r="X116" s="47" t="s">
        <v>349</v>
      </c>
      <c r="Y116" s="47" t="s">
        <v>349</v>
      </c>
      <c r="Z116" s="277">
        <v>45992</v>
      </c>
    </row>
    <row r="117" spans="1:26" s="47" customFormat="1" ht="12" x14ac:dyDescent="0.2">
      <c r="A117" s="264">
        <v>572</v>
      </c>
      <c r="B117" s="48" t="s">
        <v>534</v>
      </c>
      <c r="C117" s="49" t="s">
        <v>535</v>
      </c>
      <c r="D117" s="50">
        <v>44886</v>
      </c>
      <c r="E117" s="49" t="s">
        <v>206</v>
      </c>
      <c r="F117" s="49" t="s">
        <v>70</v>
      </c>
      <c r="G117" s="49" t="s">
        <v>122</v>
      </c>
      <c r="H117" s="49" t="s">
        <v>59</v>
      </c>
      <c r="I117" s="49" t="s">
        <v>400</v>
      </c>
      <c r="J117" s="49" t="s">
        <v>297</v>
      </c>
      <c r="K117" s="49" t="s">
        <v>59</v>
      </c>
      <c r="L117" s="49"/>
      <c r="M117" s="50"/>
      <c r="N117" s="49"/>
      <c r="O117" s="49"/>
      <c r="P117" s="50"/>
      <c r="Q117" s="52"/>
      <c r="R117" s="138">
        <v>45818</v>
      </c>
      <c r="S117" s="47" t="s">
        <v>149</v>
      </c>
      <c r="T117" s="246">
        <v>1</v>
      </c>
      <c r="V117" s="47" t="s">
        <v>195</v>
      </c>
      <c r="W117" s="47" t="str">
        <f t="shared" si="1"/>
        <v/>
      </c>
      <c r="X117" s="47" t="s">
        <v>349</v>
      </c>
      <c r="Y117" s="47" t="s">
        <v>349</v>
      </c>
      <c r="Z117" s="277">
        <v>45901</v>
      </c>
    </row>
    <row r="118" spans="1:26" s="47" customFormat="1" ht="12" x14ac:dyDescent="0.2">
      <c r="A118" s="264">
        <v>573</v>
      </c>
      <c r="B118" s="48" t="s">
        <v>537</v>
      </c>
      <c r="C118" s="49" t="s">
        <v>396</v>
      </c>
      <c r="D118" s="50">
        <v>44890</v>
      </c>
      <c r="E118" s="49" t="s">
        <v>538</v>
      </c>
      <c r="F118" s="49" t="s">
        <v>70</v>
      </c>
      <c r="G118" s="49" t="s">
        <v>124</v>
      </c>
      <c r="H118" s="49" t="s">
        <v>57</v>
      </c>
      <c r="I118" s="49" t="s">
        <v>147</v>
      </c>
      <c r="J118" s="49" t="s">
        <v>163</v>
      </c>
      <c r="K118" s="49" t="s">
        <v>57</v>
      </c>
      <c r="L118" s="49"/>
      <c r="M118" s="50"/>
      <c r="N118" s="49"/>
      <c r="O118" s="49"/>
      <c r="P118" s="50"/>
      <c r="Q118" s="52"/>
      <c r="R118" s="36"/>
      <c r="S118" s="47" t="s">
        <v>149</v>
      </c>
      <c r="T118" s="246">
        <v>1</v>
      </c>
      <c r="V118" s="47" t="s">
        <v>150</v>
      </c>
      <c r="W118" s="47" t="str">
        <f t="shared" si="1"/>
        <v/>
      </c>
      <c r="X118" s="47" t="s">
        <v>1833</v>
      </c>
      <c r="Y118" s="47" t="s">
        <v>1833</v>
      </c>
      <c r="Z118" s="277">
        <v>45931</v>
      </c>
    </row>
    <row r="119" spans="1:26" s="47" customFormat="1" ht="12" x14ac:dyDescent="0.2">
      <c r="A119" s="264">
        <v>592</v>
      </c>
      <c r="B119" s="48" t="s">
        <v>539</v>
      </c>
      <c r="C119" s="49" t="s">
        <v>540</v>
      </c>
      <c r="D119" s="50">
        <v>44929</v>
      </c>
      <c r="E119" s="49" t="s">
        <v>181</v>
      </c>
      <c r="F119" s="49" t="s">
        <v>70</v>
      </c>
      <c r="G119" s="49" t="s">
        <v>120</v>
      </c>
      <c r="H119" s="49" t="s">
        <v>57</v>
      </c>
      <c r="I119" s="49" t="s">
        <v>162</v>
      </c>
      <c r="J119" s="49" t="s">
        <v>239</v>
      </c>
      <c r="K119" s="49" t="s">
        <v>57</v>
      </c>
      <c r="L119" s="49"/>
      <c r="M119" s="50"/>
      <c r="N119" s="49"/>
      <c r="O119" s="49"/>
      <c r="P119" s="50"/>
      <c r="Q119" s="52" t="s">
        <v>415</v>
      </c>
      <c r="R119" s="36"/>
      <c r="S119" s="47" t="s">
        <v>149</v>
      </c>
      <c r="T119" s="246">
        <v>1</v>
      </c>
      <c r="V119" s="47" t="s">
        <v>150</v>
      </c>
      <c r="W119" s="47" t="str">
        <f t="shared" si="1"/>
        <v/>
      </c>
      <c r="X119" s="47" t="s">
        <v>349</v>
      </c>
      <c r="Y119" s="47" t="s">
        <v>1833</v>
      </c>
      <c r="Z119" s="277"/>
    </row>
    <row r="120" spans="1:26" s="47" customFormat="1" ht="12" x14ac:dyDescent="0.2">
      <c r="A120" s="264">
        <v>580</v>
      </c>
      <c r="B120" s="48" t="s">
        <v>541</v>
      </c>
      <c r="C120" s="49" t="s">
        <v>542</v>
      </c>
      <c r="D120" s="50">
        <v>44942</v>
      </c>
      <c r="E120" s="49" t="s">
        <v>543</v>
      </c>
      <c r="F120" s="49" t="s">
        <v>70</v>
      </c>
      <c r="G120" s="49" t="s">
        <v>121</v>
      </c>
      <c r="H120" s="49" t="s">
        <v>61</v>
      </c>
      <c r="I120" s="49"/>
      <c r="J120" s="49" t="s">
        <v>380</v>
      </c>
      <c r="K120" s="49" t="s">
        <v>61</v>
      </c>
      <c r="L120" s="49"/>
      <c r="M120" s="50"/>
      <c r="N120" s="49"/>
      <c r="O120" s="49"/>
      <c r="P120" s="50"/>
      <c r="Q120" s="52"/>
      <c r="R120" s="138">
        <v>45842</v>
      </c>
      <c r="S120" s="47" t="s">
        <v>149</v>
      </c>
      <c r="T120" s="246">
        <v>1</v>
      </c>
      <c r="V120" s="47" t="s">
        <v>195</v>
      </c>
      <c r="W120" s="47" t="str">
        <f t="shared" si="1"/>
        <v/>
      </c>
      <c r="X120" s="47" t="s">
        <v>349</v>
      </c>
      <c r="Y120" s="47" t="s">
        <v>1833</v>
      </c>
      <c r="Z120" s="277"/>
    </row>
    <row r="121" spans="1:26" s="47" customFormat="1" ht="12" x14ac:dyDescent="0.2">
      <c r="A121" s="264">
        <v>583</v>
      </c>
      <c r="B121" s="48" t="s">
        <v>544</v>
      </c>
      <c r="C121" s="49" t="s">
        <v>545</v>
      </c>
      <c r="D121" s="50">
        <v>44951</v>
      </c>
      <c r="E121" s="49" t="s">
        <v>169</v>
      </c>
      <c r="F121" s="49" t="s">
        <v>70</v>
      </c>
      <c r="G121" s="49" t="s">
        <v>120</v>
      </c>
      <c r="H121" s="49" t="s">
        <v>59</v>
      </c>
      <c r="I121" s="49" t="s">
        <v>546</v>
      </c>
      <c r="J121" s="49" t="s">
        <v>268</v>
      </c>
      <c r="K121" s="49" t="s">
        <v>59</v>
      </c>
      <c r="L121" s="49"/>
      <c r="M121" s="50"/>
      <c r="N121" s="49"/>
      <c r="O121" s="49"/>
      <c r="P121" s="50"/>
      <c r="Q121" s="52"/>
      <c r="R121" s="36"/>
      <c r="S121" s="47" t="s">
        <v>149</v>
      </c>
      <c r="T121" s="246">
        <v>1</v>
      </c>
      <c r="V121" s="47" t="s">
        <v>150</v>
      </c>
      <c r="W121" s="47" t="str">
        <f t="shared" si="1"/>
        <v/>
      </c>
      <c r="X121" s="47" t="s">
        <v>349</v>
      </c>
      <c r="Y121" s="47" t="s">
        <v>349</v>
      </c>
      <c r="Z121" s="277">
        <v>45901</v>
      </c>
    </row>
    <row r="122" spans="1:26" s="47" customFormat="1" ht="12" x14ac:dyDescent="0.2">
      <c r="A122" s="264">
        <v>585</v>
      </c>
      <c r="B122" s="56" t="s">
        <v>547</v>
      </c>
      <c r="C122" s="57" t="s">
        <v>548</v>
      </c>
      <c r="D122" s="50">
        <v>44963</v>
      </c>
      <c r="E122" s="49" t="s">
        <v>206</v>
      </c>
      <c r="F122" s="49" t="s">
        <v>73</v>
      </c>
      <c r="G122" s="49" t="s">
        <v>122</v>
      </c>
      <c r="H122" s="49" t="s">
        <v>61</v>
      </c>
      <c r="I122" s="49" t="s">
        <v>400</v>
      </c>
      <c r="J122" s="49" t="s">
        <v>249</v>
      </c>
      <c r="K122" s="49" t="s">
        <v>59</v>
      </c>
      <c r="L122" s="49" t="s">
        <v>61</v>
      </c>
      <c r="M122" s="50">
        <v>45516</v>
      </c>
      <c r="N122" s="49" t="s">
        <v>549</v>
      </c>
      <c r="O122" s="49" t="s">
        <v>175</v>
      </c>
      <c r="P122" s="50"/>
      <c r="Q122" s="52"/>
      <c r="R122" s="36"/>
      <c r="S122" s="47" t="s">
        <v>149</v>
      </c>
      <c r="T122" s="246">
        <v>1</v>
      </c>
      <c r="V122" s="47" t="s">
        <v>150</v>
      </c>
      <c r="W122" s="47" t="str">
        <f t="shared" si="1"/>
        <v/>
      </c>
      <c r="X122" s="47" t="s">
        <v>349</v>
      </c>
      <c r="Y122" s="47" t="s">
        <v>1833</v>
      </c>
      <c r="Z122" s="277"/>
    </row>
    <row r="123" spans="1:26" s="47" customFormat="1" ht="12" x14ac:dyDescent="0.2">
      <c r="A123" s="264">
        <v>587</v>
      </c>
      <c r="B123" s="53" t="s">
        <v>550</v>
      </c>
      <c r="C123" s="54" t="s">
        <v>551</v>
      </c>
      <c r="D123" s="50">
        <v>44963</v>
      </c>
      <c r="E123" s="49" t="s">
        <v>169</v>
      </c>
      <c r="F123" s="49" t="s">
        <v>73</v>
      </c>
      <c r="G123" s="49" t="s">
        <v>120</v>
      </c>
      <c r="H123" s="49" t="s">
        <v>61</v>
      </c>
      <c r="I123" s="49" t="s">
        <v>552</v>
      </c>
      <c r="J123" s="49" t="s">
        <v>249</v>
      </c>
      <c r="K123" s="49" t="s">
        <v>59</v>
      </c>
      <c r="L123" s="49" t="s">
        <v>61</v>
      </c>
      <c r="M123" s="50">
        <v>45516</v>
      </c>
      <c r="N123" s="49" t="s">
        <v>549</v>
      </c>
      <c r="O123" s="49" t="s">
        <v>175</v>
      </c>
      <c r="P123" s="50"/>
      <c r="Q123" s="52"/>
      <c r="R123" s="36"/>
      <c r="S123" s="47" t="s">
        <v>149</v>
      </c>
      <c r="T123" s="246">
        <v>1</v>
      </c>
      <c r="V123" s="47" t="s">
        <v>150</v>
      </c>
      <c r="W123" s="47" t="str">
        <f t="shared" si="1"/>
        <v/>
      </c>
      <c r="X123" s="47" t="s">
        <v>349</v>
      </c>
      <c r="Y123" s="47" t="s">
        <v>1833</v>
      </c>
      <c r="Z123" s="277"/>
    </row>
    <row r="124" spans="1:26" s="47" customFormat="1" ht="12" x14ac:dyDescent="0.2">
      <c r="A124" s="264">
        <v>589</v>
      </c>
      <c r="B124" s="56" t="s">
        <v>553</v>
      </c>
      <c r="C124" s="57" t="s">
        <v>554</v>
      </c>
      <c r="D124" s="50">
        <v>44963</v>
      </c>
      <c r="E124" s="49" t="s">
        <v>372</v>
      </c>
      <c r="F124" s="49" t="s">
        <v>73</v>
      </c>
      <c r="G124" s="49" t="s">
        <v>120</v>
      </c>
      <c r="H124" s="49" t="s">
        <v>61</v>
      </c>
      <c r="I124" s="49" t="s">
        <v>552</v>
      </c>
      <c r="J124" s="49" t="s">
        <v>249</v>
      </c>
      <c r="K124" s="49" t="s">
        <v>59</v>
      </c>
      <c r="L124" s="49" t="s">
        <v>61</v>
      </c>
      <c r="M124" s="94">
        <v>45467</v>
      </c>
      <c r="N124" s="49" t="s">
        <v>549</v>
      </c>
      <c r="O124" s="49" t="s">
        <v>343</v>
      </c>
      <c r="P124" s="50"/>
      <c r="Q124" s="52"/>
      <c r="R124" s="36"/>
      <c r="S124" s="47" t="s">
        <v>149</v>
      </c>
      <c r="T124" s="246">
        <v>1</v>
      </c>
      <c r="V124" s="47" t="s">
        <v>195</v>
      </c>
      <c r="W124" s="47" t="str">
        <f t="shared" si="1"/>
        <v/>
      </c>
      <c r="X124" s="47" t="s">
        <v>349</v>
      </c>
      <c r="Y124" s="47" t="s">
        <v>1833</v>
      </c>
      <c r="Z124" s="277"/>
    </row>
    <row r="125" spans="1:26" s="47" customFormat="1" ht="12" x14ac:dyDescent="0.2">
      <c r="A125" s="264">
        <v>590</v>
      </c>
      <c r="B125" s="56" t="s">
        <v>555</v>
      </c>
      <c r="C125" s="57" t="s">
        <v>556</v>
      </c>
      <c r="D125" s="50">
        <v>44963</v>
      </c>
      <c r="E125" s="49" t="s">
        <v>169</v>
      </c>
      <c r="F125" s="49" t="s">
        <v>73</v>
      </c>
      <c r="G125" s="49" t="s">
        <v>120</v>
      </c>
      <c r="H125" s="49" t="s">
        <v>61</v>
      </c>
      <c r="I125" s="49" t="s">
        <v>552</v>
      </c>
      <c r="J125" s="49" t="s">
        <v>249</v>
      </c>
      <c r="K125" s="49" t="s">
        <v>59</v>
      </c>
      <c r="L125" s="49" t="s">
        <v>61</v>
      </c>
      <c r="M125" s="50">
        <v>45597</v>
      </c>
      <c r="N125" s="49" t="s">
        <v>549</v>
      </c>
      <c r="O125" s="49" t="s">
        <v>175</v>
      </c>
      <c r="P125" s="50">
        <v>45597</v>
      </c>
      <c r="Q125" s="52"/>
      <c r="R125" s="36"/>
      <c r="S125" s="47" t="s">
        <v>149</v>
      </c>
      <c r="T125" s="246">
        <v>1</v>
      </c>
      <c r="V125" s="47" t="s">
        <v>150</v>
      </c>
      <c r="W125" s="47" t="str">
        <f t="shared" si="1"/>
        <v/>
      </c>
      <c r="X125" s="47" t="s">
        <v>349</v>
      </c>
      <c r="Y125" s="47" t="s">
        <v>1833</v>
      </c>
      <c r="Z125" s="277"/>
    </row>
    <row r="126" spans="1:26" s="47" customFormat="1" ht="12" x14ac:dyDescent="0.2">
      <c r="A126" s="264">
        <v>591</v>
      </c>
      <c r="B126" s="53" t="s">
        <v>557</v>
      </c>
      <c r="C126" s="54" t="s">
        <v>558</v>
      </c>
      <c r="D126" s="50">
        <v>44963</v>
      </c>
      <c r="E126" s="49" t="s">
        <v>372</v>
      </c>
      <c r="F126" s="49" t="s">
        <v>73</v>
      </c>
      <c r="G126" s="49" t="s">
        <v>120</v>
      </c>
      <c r="H126" s="49" t="s">
        <v>61</v>
      </c>
      <c r="I126" s="49" t="s">
        <v>552</v>
      </c>
      <c r="J126" s="49" t="s">
        <v>249</v>
      </c>
      <c r="K126" s="49" t="s">
        <v>59</v>
      </c>
      <c r="L126" s="49" t="s">
        <v>61</v>
      </c>
      <c r="M126" s="50">
        <v>45516</v>
      </c>
      <c r="N126" s="49" t="s">
        <v>549</v>
      </c>
      <c r="O126" s="49" t="s">
        <v>175</v>
      </c>
      <c r="P126" s="50"/>
      <c r="Q126" s="52"/>
      <c r="R126" s="36"/>
      <c r="S126" s="47" t="s">
        <v>149</v>
      </c>
      <c r="T126" s="246">
        <v>1</v>
      </c>
      <c r="V126" s="47" t="s">
        <v>150</v>
      </c>
      <c r="W126" s="47" t="str">
        <f t="shared" si="1"/>
        <v/>
      </c>
      <c r="X126" s="47" t="s">
        <v>349</v>
      </c>
      <c r="Y126" s="47" t="s">
        <v>1833</v>
      </c>
      <c r="Z126" s="277"/>
    </row>
    <row r="127" spans="1:26" s="47" customFormat="1" ht="12" x14ac:dyDescent="0.2">
      <c r="A127" s="264">
        <v>636</v>
      </c>
      <c r="B127" s="48" t="s">
        <v>559</v>
      </c>
      <c r="C127" s="49" t="s">
        <v>560</v>
      </c>
      <c r="D127" s="50">
        <v>44967</v>
      </c>
      <c r="E127" s="49" t="s">
        <v>561</v>
      </c>
      <c r="F127" s="49" t="s">
        <v>70</v>
      </c>
      <c r="G127" s="49" t="s">
        <v>220</v>
      </c>
      <c r="H127" s="49" t="s">
        <v>63</v>
      </c>
      <c r="I127" s="49" t="s">
        <v>244</v>
      </c>
      <c r="J127" s="49" t="s">
        <v>245</v>
      </c>
      <c r="K127" s="49" t="s">
        <v>223</v>
      </c>
      <c r="L127" s="49"/>
      <c r="M127" s="50"/>
      <c r="N127" s="49"/>
      <c r="O127" s="49"/>
      <c r="P127" s="50"/>
      <c r="Q127" s="52"/>
      <c r="R127" s="36"/>
      <c r="S127" s="47" t="s">
        <v>149</v>
      </c>
      <c r="T127" s="246">
        <v>1</v>
      </c>
      <c r="V127" s="47" t="s">
        <v>195</v>
      </c>
      <c r="W127" s="47" t="str">
        <f t="shared" si="1"/>
        <v/>
      </c>
      <c r="X127" s="47" t="s">
        <v>349</v>
      </c>
      <c r="Y127" s="47" t="s">
        <v>349</v>
      </c>
      <c r="Z127" s="277">
        <v>45992</v>
      </c>
    </row>
    <row r="128" spans="1:26" s="47" customFormat="1" ht="12" hidden="1" x14ac:dyDescent="0.2">
      <c r="A128" s="264">
        <v>663</v>
      </c>
      <c r="B128" s="130" t="s">
        <v>562</v>
      </c>
      <c r="C128" s="100" t="s">
        <v>563</v>
      </c>
      <c r="D128" s="50">
        <v>44968</v>
      </c>
      <c r="E128" s="49" t="s">
        <v>464</v>
      </c>
      <c r="F128" s="100" t="s">
        <v>70</v>
      </c>
      <c r="G128" s="100" t="s">
        <v>347</v>
      </c>
      <c r="H128" s="49" t="s">
        <v>57</v>
      </c>
      <c r="I128" s="100" t="s">
        <v>238</v>
      </c>
      <c r="J128" s="49"/>
      <c r="K128" s="100" t="s">
        <v>57</v>
      </c>
      <c r="L128" s="147"/>
      <c r="M128" s="131"/>
      <c r="N128" s="100" t="s">
        <v>72</v>
      </c>
      <c r="O128" s="100"/>
      <c r="P128" s="131"/>
      <c r="Q128" s="133" t="s">
        <v>564</v>
      </c>
      <c r="R128" s="135">
        <v>45513</v>
      </c>
      <c r="T128" s="246">
        <v>1</v>
      </c>
      <c r="V128" s="47" t="s">
        <v>150</v>
      </c>
      <c r="W128" s="47" t="str">
        <f t="shared" si="1"/>
        <v/>
      </c>
      <c r="X128" s="47" t="s">
        <v>349</v>
      </c>
      <c r="Y128" s="47" t="s">
        <v>1833</v>
      </c>
      <c r="Z128" s="277"/>
    </row>
    <row r="129" spans="1:26" s="47" customFormat="1" ht="12" x14ac:dyDescent="0.2">
      <c r="A129" s="264">
        <v>661</v>
      </c>
      <c r="B129" s="48" t="s">
        <v>565</v>
      </c>
      <c r="C129" s="49" t="s">
        <v>566</v>
      </c>
      <c r="D129" s="50">
        <v>44968</v>
      </c>
      <c r="E129" s="49" t="s">
        <v>1826</v>
      </c>
      <c r="F129" s="49" t="s">
        <v>70</v>
      </c>
      <c r="G129" s="49" t="s">
        <v>220</v>
      </c>
      <c r="H129" s="49" t="s">
        <v>56</v>
      </c>
      <c r="I129" s="49" t="s">
        <v>568</v>
      </c>
      <c r="J129" s="49" t="s">
        <v>222</v>
      </c>
      <c r="K129" s="49" t="s">
        <v>223</v>
      </c>
      <c r="L129" s="49"/>
      <c r="M129" s="50"/>
      <c r="N129" s="49"/>
      <c r="O129" s="49"/>
      <c r="P129" s="50"/>
      <c r="Q129" s="52"/>
      <c r="R129" s="36"/>
      <c r="S129" s="47" t="s">
        <v>149</v>
      </c>
      <c r="T129" s="246">
        <v>1</v>
      </c>
      <c r="V129" s="47" t="s">
        <v>195</v>
      </c>
      <c r="W129" s="47" t="str">
        <f t="shared" si="1"/>
        <v/>
      </c>
      <c r="X129" s="47" t="s">
        <v>1833</v>
      </c>
      <c r="Y129" s="47" t="s">
        <v>1833</v>
      </c>
      <c r="Z129" s="277">
        <v>45870</v>
      </c>
    </row>
    <row r="130" spans="1:26" s="47" customFormat="1" ht="12" hidden="1" x14ac:dyDescent="0.2">
      <c r="A130" s="264">
        <v>593</v>
      </c>
      <c r="B130" s="48" t="s">
        <v>569</v>
      </c>
      <c r="C130" s="49" t="s">
        <v>570</v>
      </c>
      <c r="D130" s="50">
        <v>44971</v>
      </c>
      <c r="E130" s="49" t="s">
        <v>571</v>
      </c>
      <c r="F130" s="49" t="s">
        <v>70</v>
      </c>
      <c r="G130" s="49" t="s">
        <v>55</v>
      </c>
      <c r="H130" s="49" t="s">
        <v>55</v>
      </c>
      <c r="I130" s="49" t="s">
        <v>329</v>
      </c>
      <c r="J130" s="49"/>
      <c r="K130" s="49" t="s">
        <v>55</v>
      </c>
      <c r="L130" s="49"/>
      <c r="M130" s="50"/>
      <c r="N130" s="49"/>
      <c r="O130" s="49"/>
      <c r="P130" s="50"/>
      <c r="Q130" s="52" t="s">
        <v>572</v>
      </c>
      <c r="R130" s="139">
        <v>45562</v>
      </c>
      <c r="S130" s="36"/>
      <c r="T130" s="246">
        <v>1</v>
      </c>
      <c r="V130" s="47" t="s">
        <v>195</v>
      </c>
      <c r="W130" s="47" t="str">
        <f t="shared" si="1"/>
        <v/>
      </c>
      <c r="X130" s="47" t="s">
        <v>349</v>
      </c>
      <c r="Y130" s="47" t="s">
        <v>1833</v>
      </c>
      <c r="Z130" s="277"/>
    </row>
    <row r="131" spans="1:26" s="47" customFormat="1" ht="12" x14ac:dyDescent="0.2">
      <c r="A131" s="264">
        <v>595</v>
      </c>
      <c r="B131" s="48" t="s">
        <v>573</v>
      </c>
      <c r="C131" s="49" t="s">
        <v>574</v>
      </c>
      <c r="D131" s="50">
        <v>44998</v>
      </c>
      <c r="E131" s="49" t="s">
        <v>206</v>
      </c>
      <c r="F131" s="49" t="s">
        <v>70</v>
      </c>
      <c r="G131" s="49" t="s">
        <v>122</v>
      </c>
      <c r="H131" s="49" t="s">
        <v>61</v>
      </c>
      <c r="I131" s="49" t="s">
        <v>400</v>
      </c>
      <c r="J131" s="49" t="s">
        <v>249</v>
      </c>
      <c r="K131" s="49" t="s">
        <v>61</v>
      </c>
      <c r="L131" s="49"/>
      <c r="M131" s="50"/>
      <c r="N131" s="49"/>
      <c r="O131" s="49"/>
      <c r="P131" s="50"/>
      <c r="Q131" s="52"/>
      <c r="R131" s="36"/>
      <c r="S131" s="47" t="s">
        <v>149</v>
      </c>
      <c r="T131" s="246">
        <v>1</v>
      </c>
      <c r="V131" s="47" t="s">
        <v>195</v>
      </c>
      <c r="W131" s="47" t="str">
        <f t="shared" si="1"/>
        <v/>
      </c>
      <c r="X131" s="47" t="s">
        <v>349</v>
      </c>
      <c r="Y131" s="47" t="s">
        <v>1833</v>
      </c>
      <c r="Z131" s="277"/>
    </row>
    <row r="132" spans="1:26" s="47" customFormat="1" ht="12" x14ac:dyDescent="0.2">
      <c r="A132" s="264">
        <v>597</v>
      </c>
      <c r="B132" s="53" t="s">
        <v>575</v>
      </c>
      <c r="C132" s="54" t="s">
        <v>576</v>
      </c>
      <c r="D132" s="50">
        <v>45027</v>
      </c>
      <c r="E132" s="49" t="s">
        <v>577</v>
      </c>
      <c r="F132" s="49" t="s">
        <v>73</v>
      </c>
      <c r="G132" s="49" t="s">
        <v>120</v>
      </c>
      <c r="H132" s="49" t="s">
        <v>61</v>
      </c>
      <c r="I132" s="49" t="s">
        <v>552</v>
      </c>
      <c r="J132" s="49" t="s">
        <v>343</v>
      </c>
      <c r="K132" s="49" t="s">
        <v>61</v>
      </c>
      <c r="L132" s="49"/>
      <c r="M132" s="50"/>
      <c r="N132" s="49"/>
      <c r="O132" s="49"/>
      <c r="P132" s="50"/>
      <c r="Q132" s="52"/>
      <c r="R132" s="36"/>
      <c r="S132" s="47" t="s">
        <v>149</v>
      </c>
      <c r="T132" s="246">
        <v>1</v>
      </c>
      <c r="V132" s="47" t="s">
        <v>150</v>
      </c>
      <c r="W132" s="47" t="str">
        <f t="shared" si="1"/>
        <v/>
      </c>
      <c r="X132" s="47" t="s">
        <v>349</v>
      </c>
      <c r="Y132" s="47" t="s">
        <v>1833</v>
      </c>
      <c r="Z132" s="277"/>
    </row>
    <row r="133" spans="1:26" s="47" customFormat="1" ht="12" x14ac:dyDescent="0.2">
      <c r="A133" s="264">
        <v>596</v>
      </c>
      <c r="B133" s="48" t="s">
        <v>578</v>
      </c>
      <c r="C133" s="49" t="s">
        <v>579</v>
      </c>
      <c r="D133" s="50">
        <v>45033</v>
      </c>
      <c r="E133" s="49" t="s">
        <v>580</v>
      </c>
      <c r="F133" s="49" t="s">
        <v>70</v>
      </c>
      <c r="G133" s="49" t="s">
        <v>581</v>
      </c>
      <c r="H133" s="49" t="s">
        <v>56</v>
      </c>
      <c r="I133" s="49" t="s">
        <v>582</v>
      </c>
      <c r="J133" s="49" t="s">
        <v>581</v>
      </c>
      <c r="K133" s="49" t="s">
        <v>223</v>
      </c>
      <c r="L133" s="49"/>
      <c r="M133" s="50"/>
      <c r="N133" s="49"/>
      <c r="O133" s="49"/>
      <c r="P133" s="50"/>
      <c r="Q133" s="52"/>
      <c r="R133" s="36"/>
      <c r="S133" s="47" t="s">
        <v>149</v>
      </c>
      <c r="T133" s="246">
        <v>1</v>
      </c>
      <c r="V133" s="47" t="s">
        <v>195</v>
      </c>
      <c r="W133" s="47" t="str">
        <f t="shared" si="1"/>
        <v/>
      </c>
      <c r="X133" s="47" t="s">
        <v>1833</v>
      </c>
      <c r="Y133" s="47" t="s">
        <v>1833</v>
      </c>
      <c r="Z133" s="277">
        <v>45870</v>
      </c>
    </row>
    <row r="134" spans="1:26" s="47" customFormat="1" ht="12" x14ac:dyDescent="0.2">
      <c r="A134" s="264">
        <v>600</v>
      </c>
      <c r="B134" s="48" t="s">
        <v>583</v>
      </c>
      <c r="C134" s="49" t="s">
        <v>584</v>
      </c>
      <c r="D134" s="50">
        <v>45083</v>
      </c>
      <c r="E134" s="49" t="s">
        <v>585</v>
      </c>
      <c r="F134" s="49" t="s">
        <v>70</v>
      </c>
      <c r="G134" s="49" t="s">
        <v>388</v>
      </c>
      <c r="H134" s="49" t="s">
        <v>46</v>
      </c>
      <c r="I134" s="49" t="s">
        <v>387</v>
      </c>
      <c r="J134" s="49" t="s">
        <v>388</v>
      </c>
      <c r="K134" s="49" t="s">
        <v>55</v>
      </c>
      <c r="L134" s="49"/>
      <c r="M134" s="50"/>
      <c r="N134" s="49"/>
      <c r="O134" s="49"/>
      <c r="P134" s="50"/>
      <c r="Q134" s="52"/>
      <c r="R134" s="36"/>
      <c r="S134" s="47" t="s">
        <v>149</v>
      </c>
      <c r="T134" s="246">
        <v>1</v>
      </c>
      <c r="V134" s="47" t="s">
        <v>195</v>
      </c>
      <c r="W134" s="47" t="str">
        <f t="shared" ref="W134:W197" si="2">IF(AND(T134&lt;&gt;"",NOT(ISNUMBER(T134))),"Non-numeric","")</f>
        <v/>
      </c>
      <c r="X134" s="47" t="s">
        <v>349</v>
      </c>
      <c r="Y134" s="47" t="s">
        <v>349</v>
      </c>
      <c r="Z134" s="277">
        <v>45992</v>
      </c>
    </row>
    <row r="135" spans="1:26" s="47" customFormat="1" ht="12" hidden="1" x14ac:dyDescent="0.2">
      <c r="A135" s="264">
        <v>627</v>
      </c>
      <c r="B135" s="48" t="s">
        <v>586</v>
      </c>
      <c r="C135" s="49" t="s">
        <v>587</v>
      </c>
      <c r="D135" s="50">
        <v>45115</v>
      </c>
      <c r="E135" s="49" t="s">
        <v>588</v>
      </c>
      <c r="F135" s="49" t="s">
        <v>70</v>
      </c>
      <c r="G135" s="49" t="s">
        <v>388</v>
      </c>
      <c r="H135" s="49" t="s">
        <v>46</v>
      </c>
      <c r="I135" s="49" t="s">
        <v>387</v>
      </c>
      <c r="J135" s="49" t="s">
        <v>388</v>
      </c>
      <c r="K135" s="49" t="s">
        <v>46</v>
      </c>
      <c r="L135" s="49"/>
      <c r="M135" s="50"/>
      <c r="N135" s="49"/>
      <c r="O135" s="49"/>
      <c r="P135" s="50"/>
      <c r="Q135" s="52"/>
      <c r="R135" s="138">
        <v>45699</v>
      </c>
      <c r="S135" s="47" t="s">
        <v>149</v>
      </c>
      <c r="T135" s="246">
        <v>1</v>
      </c>
      <c r="V135" s="47" t="s">
        <v>150</v>
      </c>
      <c r="W135" s="47" t="str">
        <f t="shared" si="2"/>
        <v/>
      </c>
      <c r="X135" s="47" t="s">
        <v>349</v>
      </c>
      <c r="Y135" s="47" t="s">
        <v>1833</v>
      </c>
      <c r="Z135" s="277"/>
    </row>
    <row r="136" spans="1:26" s="47" customFormat="1" ht="12" x14ac:dyDescent="0.2">
      <c r="A136" s="264">
        <v>613</v>
      </c>
      <c r="B136" s="48" t="s">
        <v>589</v>
      </c>
      <c r="C136" s="49" t="s">
        <v>590</v>
      </c>
      <c r="D136" s="50">
        <v>45115</v>
      </c>
      <c r="E136" s="49" t="s">
        <v>591</v>
      </c>
      <c r="F136" s="49" t="s">
        <v>70</v>
      </c>
      <c r="G136" s="49" t="s">
        <v>120</v>
      </c>
      <c r="H136" s="49" t="s">
        <v>61</v>
      </c>
      <c r="I136" s="49" t="s">
        <v>314</v>
      </c>
      <c r="J136" s="49" t="s">
        <v>380</v>
      </c>
      <c r="K136" s="49" t="s">
        <v>61</v>
      </c>
      <c r="L136" s="49"/>
      <c r="M136" s="50"/>
      <c r="N136" s="49"/>
      <c r="O136" s="49"/>
      <c r="P136" s="50"/>
      <c r="Q136" s="52"/>
      <c r="R136" s="36"/>
      <c r="S136" s="47" t="s">
        <v>149</v>
      </c>
      <c r="T136" s="246">
        <v>1</v>
      </c>
      <c r="V136" s="47" t="s">
        <v>150</v>
      </c>
      <c r="W136" s="47" t="str">
        <f t="shared" si="2"/>
        <v/>
      </c>
      <c r="X136" s="47" t="s">
        <v>349</v>
      </c>
      <c r="Y136" s="47" t="s">
        <v>1833</v>
      </c>
      <c r="Z136" s="277"/>
    </row>
    <row r="137" spans="1:26" s="47" customFormat="1" ht="13.15" customHeight="1" x14ac:dyDescent="0.2">
      <c r="A137" s="264">
        <v>612</v>
      </c>
      <c r="B137" s="48" t="s">
        <v>592</v>
      </c>
      <c r="C137" s="49" t="s">
        <v>593</v>
      </c>
      <c r="D137" s="50">
        <v>45138</v>
      </c>
      <c r="E137" s="49" t="s">
        <v>594</v>
      </c>
      <c r="F137" s="49" t="s">
        <v>70</v>
      </c>
      <c r="G137" s="49" t="s">
        <v>118</v>
      </c>
      <c r="H137" s="49" t="s">
        <v>57</v>
      </c>
      <c r="I137" s="49" t="s">
        <v>595</v>
      </c>
      <c r="J137" s="49" t="s">
        <v>239</v>
      </c>
      <c r="K137" s="49" t="s">
        <v>57</v>
      </c>
      <c r="L137" s="49"/>
      <c r="M137" s="50"/>
      <c r="N137" s="49"/>
      <c r="O137" s="49"/>
      <c r="P137" s="50"/>
      <c r="Q137" s="52"/>
      <c r="R137" s="138">
        <v>45751</v>
      </c>
      <c r="S137" s="47" t="s">
        <v>149</v>
      </c>
      <c r="T137" s="246">
        <v>1</v>
      </c>
      <c r="V137" s="47" t="s">
        <v>150</v>
      </c>
      <c r="W137" s="47" t="str">
        <f t="shared" si="2"/>
        <v/>
      </c>
      <c r="X137" s="47" t="s">
        <v>349</v>
      </c>
      <c r="Y137" s="47" t="s">
        <v>1833</v>
      </c>
      <c r="Z137" s="277"/>
    </row>
    <row r="138" spans="1:26" s="47" customFormat="1" ht="12" x14ac:dyDescent="0.2">
      <c r="A138" s="264">
        <v>602</v>
      </c>
      <c r="B138" s="48" t="s">
        <v>596</v>
      </c>
      <c r="C138" s="49" t="s">
        <v>597</v>
      </c>
      <c r="D138" s="50">
        <v>45138</v>
      </c>
      <c r="E138" s="49" t="s">
        <v>598</v>
      </c>
      <c r="F138" s="49" t="s">
        <v>70</v>
      </c>
      <c r="G138" s="49" t="s">
        <v>388</v>
      </c>
      <c r="H138" s="49" t="s">
        <v>46</v>
      </c>
      <c r="I138" s="49" t="s">
        <v>387</v>
      </c>
      <c r="J138" s="49" t="s">
        <v>388</v>
      </c>
      <c r="K138" s="49" t="s">
        <v>46</v>
      </c>
      <c r="L138" s="49"/>
      <c r="M138" s="50"/>
      <c r="N138" s="49"/>
      <c r="O138" s="49"/>
      <c r="P138" s="50"/>
      <c r="Q138" s="52"/>
      <c r="R138" s="36"/>
      <c r="S138" s="47" t="s">
        <v>149</v>
      </c>
      <c r="T138" s="246">
        <v>1</v>
      </c>
      <c r="V138" s="47" t="s">
        <v>195</v>
      </c>
      <c r="W138" s="47" t="str">
        <f t="shared" si="2"/>
        <v/>
      </c>
      <c r="X138" s="47" t="s">
        <v>349</v>
      </c>
      <c r="Y138" s="47" t="s">
        <v>349</v>
      </c>
      <c r="Z138" s="277">
        <v>45992</v>
      </c>
    </row>
    <row r="139" spans="1:26" s="47" customFormat="1" ht="12" x14ac:dyDescent="0.2">
      <c r="A139" s="264">
        <v>628</v>
      </c>
      <c r="B139" s="48" t="s">
        <v>599</v>
      </c>
      <c r="C139" s="49" t="s">
        <v>600</v>
      </c>
      <c r="D139" s="50">
        <v>45152</v>
      </c>
      <c r="E139" s="49" t="s">
        <v>386</v>
      </c>
      <c r="F139" s="49" t="s">
        <v>70</v>
      </c>
      <c r="G139" s="49" t="s">
        <v>124</v>
      </c>
      <c r="H139" s="49" t="s">
        <v>59</v>
      </c>
      <c r="I139" s="49" t="s">
        <v>194</v>
      </c>
      <c r="J139" s="49" t="s">
        <v>297</v>
      </c>
      <c r="K139" s="49" t="s">
        <v>59</v>
      </c>
      <c r="L139" s="49"/>
      <c r="M139" s="50"/>
      <c r="N139" s="49"/>
      <c r="O139" s="49"/>
      <c r="P139" s="50"/>
      <c r="Q139" s="52"/>
      <c r="R139" s="36"/>
      <c r="S139" s="47" t="s">
        <v>149</v>
      </c>
      <c r="T139" s="246">
        <v>1</v>
      </c>
      <c r="V139" s="47" t="s">
        <v>195</v>
      </c>
      <c r="W139" s="47" t="str">
        <f t="shared" si="2"/>
        <v/>
      </c>
      <c r="X139" s="47" t="s">
        <v>349</v>
      </c>
      <c r="Y139" s="47" t="s">
        <v>349</v>
      </c>
      <c r="Z139" s="277">
        <v>45901</v>
      </c>
    </row>
    <row r="140" spans="1:26" s="47" customFormat="1" ht="12" x14ac:dyDescent="0.2">
      <c r="A140" s="264">
        <v>629</v>
      </c>
      <c r="B140" s="48" t="s">
        <v>601</v>
      </c>
      <c r="C140" s="49" t="s">
        <v>602</v>
      </c>
      <c r="D140" s="50">
        <v>45159</v>
      </c>
      <c r="E140" s="49" t="s">
        <v>169</v>
      </c>
      <c r="F140" s="49" t="s">
        <v>70</v>
      </c>
      <c r="G140" s="49" t="s">
        <v>120</v>
      </c>
      <c r="H140" s="49" t="s">
        <v>57</v>
      </c>
      <c r="I140" s="49" t="s">
        <v>231</v>
      </c>
      <c r="J140" s="49" t="s">
        <v>72</v>
      </c>
      <c r="K140" s="49" t="s">
        <v>57</v>
      </c>
      <c r="L140" s="49"/>
      <c r="M140" s="50"/>
      <c r="N140" s="49"/>
      <c r="O140" s="49"/>
      <c r="P140" s="50"/>
      <c r="Q140" s="52"/>
      <c r="R140" s="36"/>
      <c r="S140" s="47" t="s">
        <v>149</v>
      </c>
      <c r="T140" s="246">
        <v>1</v>
      </c>
      <c r="V140" s="47" t="s">
        <v>150</v>
      </c>
      <c r="W140" s="47" t="str">
        <f t="shared" si="2"/>
        <v/>
      </c>
      <c r="X140" s="47" t="s">
        <v>349</v>
      </c>
      <c r="Y140" s="47" t="s">
        <v>1833</v>
      </c>
      <c r="Z140" s="277"/>
    </row>
    <row r="141" spans="1:26" s="47" customFormat="1" ht="12" hidden="1" x14ac:dyDescent="0.2">
      <c r="A141" s="264">
        <v>634</v>
      </c>
      <c r="B141" s="130" t="s">
        <v>603</v>
      </c>
      <c r="C141" s="100" t="s">
        <v>604</v>
      </c>
      <c r="D141" s="50">
        <v>45169</v>
      </c>
      <c r="E141" s="49" t="s">
        <v>605</v>
      </c>
      <c r="F141" s="100" t="s">
        <v>70</v>
      </c>
      <c r="G141" s="100"/>
      <c r="H141" s="49" t="s">
        <v>46</v>
      </c>
      <c r="I141" s="100" t="s">
        <v>606</v>
      </c>
      <c r="J141" s="49"/>
      <c r="K141" s="100" t="s">
        <v>46</v>
      </c>
      <c r="L141" s="147"/>
      <c r="M141" s="131"/>
      <c r="N141" s="100" t="s">
        <v>284</v>
      </c>
      <c r="O141" s="100"/>
      <c r="P141" s="131"/>
      <c r="Q141" s="133"/>
      <c r="R141" s="134">
        <v>45470</v>
      </c>
      <c r="T141" s="246">
        <v>1</v>
      </c>
      <c r="V141" s="47" t="s">
        <v>150</v>
      </c>
      <c r="W141" s="47" t="str">
        <f t="shared" si="2"/>
        <v/>
      </c>
      <c r="X141" s="47" t="s">
        <v>349</v>
      </c>
      <c r="Y141" s="47" t="s">
        <v>1833</v>
      </c>
      <c r="Z141" s="277"/>
    </row>
    <row r="142" spans="1:26" s="47" customFormat="1" ht="12" x14ac:dyDescent="0.2">
      <c r="A142" s="264">
        <v>630</v>
      </c>
      <c r="B142" s="48" t="s">
        <v>607</v>
      </c>
      <c r="C142" s="49" t="s">
        <v>608</v>
      </c>
      <c r="D142" s="50">
        <v>45169</v>
      </c>
      <c r="E142" s="49" t="s">
        <v>609</v>
      </c>
      <c r="F142" s="49" t="s">
        <v>70</v>
      </c>
      <c r="G142" s="49" t="s">
        <v>227</v>
      </c>
      <c r="H142" s="49" t="s">
        <v>56</v>
      </c>
      <c r="I142" s="49" t="s">
        <v>228</v>
      </c>
      <c r="J142" s="49" t="s">
        <v>227</v>
      </c>
      <c r="K142" s="49" t="s">
        <v>223</v>
      </c>
      <c r="L142" s="49"/>
      <c r="M142" s="50"/>
      <c r="N142" s="49"/>
      <c r="O142" s="49"/>
      <c r="P142" s="50"/>
      <c r="Q142" s="52"/>
      <c r="R142" s="36"/>
      <c r="S142" s="47" t="s">
        <v>149</v>
      </c>
      <c r="T142" s="246">
        <v>1</v>
      </c>
      <c r="V142" s="47" t="s">
        <v>195</v>
      </c>
      <c r="W142" s="47" t="str">
        <f t="shared" si="2"/>
        <v/>
      </c>
      <c r="X142" s="47" t="s">
        <v>1833</v>
      </c>
      <c r="Y142" s="47" t="s">
        <v>1833</v>
      </c>
      <c r="Z142" s="277">
        <v>45870</v>
      </c>
    </row>
    <row r="143" spans="1:26" s="47" customFormat="1" ht="12" x14ac:dyDescent="0.2">
      <c r="A143" s="264">
        <v>576</v>
      </c>
      <c r="B143" s="48" t="s">
        <v>610</v>
      </c>
      <c r="C143" s="49" t="s">
        <v>611</v>
      </c>
      <c r="D143" s="50">
        <v>45170</v>
      </c>
      <c r="E143" s="49" t="s">
        <v>206</v>
      </c>
      <c r="F143" s="49" t="s">
        <v>70</v>
      </c>
      <c r="G143" s="49" t="s">
        <v>122</v>
      </c>
      <c r="H143" s="49" t="s">
        <v>57</v>
      </c>
      <c r="I143" s="49" t="s">
        <v>162</v>
      </c>
      <c r="J143" s="49" t="s">
        <v>239</v>
      </c>
      <c r="K143" s="49" t="s">
        <v>57</v>
      </c>
      <c r="L143" s="49"/>
      <c r="M143" s="50"/>
      <c r="N143" s="49"/>
      <c r="O143" s="49"/>
      <c r="P143" s="50"/>
      <c r="Q143" s="52" t="s">
        <v>415</v>
      </c>
      <c r="R143" s="36"/>
      <c r="S143" s="47" t="s">
        <v>149</v>
      </c>
      <c r="T143" s="246">
        <v>1</v>
      </c>
      <c r="V143" s="47" t="s">
        <v>150</v>
      </c>
      <c r="W143" s="47" t="str">
        <f t="shared" si="2"/>
        <v/>
      </c>
      <c r="X143" s="47" t="s">
        <v>349</v>
      </c>
      <c r="Y143" s="47" t="s">
        <v>1833</v>
      </c>
      <c r="Z143" s="277"/>
    </row>
    <row r="144" spans="1:26" s="47" customFormat="1" ht="12" x14ac:dyDescent="0.2">
      <c r="A144" s="264">
        <v>298</v>
      </c>
      <c r="B144" s="48" t="s">
        <v>491</v>
      </c>
      <c r="C144" s="49" t="s">
        <v>612</v>
      </c>
      <c r="D144" s="50">
        <v>45177</v>
      </c>
      <c r="E144" s="49" t="s">
        <v>613</v>
      </c>
      <c r="F144" s="49" t="s">
        <v>70</v>
      </c>
      <c r="G144" s="49" t="s">
        <v>119</v>
      </c>
      <c r="H144" s="49" t="s">
        <v>61</v>
      </c>
      <c r="I144" s="49" t="s">
        <v>194</v>
      </c>
      <c r="J144" s="49" t="s">
        <v>380</v>
      </c>
      <c r="K144" s="49" t="s">
        <v>61</v>
      </c>
      <c r="L144" s="49" t="s">
        <v>61</v>
      </c>
      <c r="M144" s="50">
        <v>45467</v>
      </c>
      <c r="N144" s="49" t="s">
        <v>392</v>
      </c>
      <c r="O144" s="49" t="s">
        <v>175</v>
      </c>
      <c r="P144" s="50"/>
      <c r="Q144" s="52"/>
      <c r="R144" s="36"/>
      <c r="S144" s="47" t="s">
        <v>149</v>
      </c>
      <c r="T144" s="246">
        <v>1</v>
      </c>
      <c r="V144" s="47" t="s">
        <v>195</v>
      </c>
      <c r="W144" s="47" t="str">
        <f t="shared" si="2"/>
        <v/>
      </c>
      <c r="X144" s="47" t="s">
        <v>349</v>
      </c>
      <c r="Y144" s="47" t="s">
        <v>1833</v>
      </c>
      <c r="Z144" s="277"/>
    </row>
    <row r="145" spans="1:26" s="47" customFormat="1" ht="12" x14ac:dyDescent="0.2">
      <c r="A145" s="264">
        <v>635</v>
      </c>
      <c r="B145" s="53" t="s">
        <v>614</v>
      </c>
      <c r="C145" s="49" t="s">
        <v>612</v>
      </c>
      <c r="D145" s="50">
        <v>45187</v>
      </c>
      <c r="E145" s="49" t="s">
        <v>346</v>
      </c>
      <c r="F145" s="49" t="s">
        <v>72</v>
      </c>
      <c r="G145" s="49" t="s">
        <v>124</v>
      </c>
      <c r="H145" s="49" t="s">
        <v>57</v>
      </c>
      <c r="I145" s="49" t="s">
        <v>423</v>
      </c>
      <c r="J145" s="49" t="s">
        <v>72</v>
      </c>
      <c r="K145" s="49" t="s">
        <v>57</v>
      </c>
      <c r="L145" s="49"/>
      <c r="M145" s="50"/>
      <c r="N145" s="49"/>
      <c r="O145" s="49"/>
      <c r="P145" s="50"/>
      <c r="Q145" s="52"/>
      <c r="R145" s="36"/>
      <c r="S145" s="47" t="s">
        <v>149</v>
      </c>
      <c r="T145" s="246">
        <v>1</v>
      </c>
      <c r="V145" s="47" t="s">
        <v>195</v>
      </c>
      <c r="W145" s="47" t="str">
        <f t="shared" si="2"/>
        <v/>
      </c>
      <c r="X145" s="47" t="s">
        <v>349</v>
      </c>
      <c r="Y145" s="47" t="s">
        <v>1833</v>
      </c>
      <c r="Z145" s="277"/>
    </row>
    <row r="146" spans="1:26" s="47" customFormat="1" ht="12" hidden="1" x14ac:dyDescent="0.2">
      <c r="A146" s="264">
        <v>664</v>
      </c>
      <c r="B146" s="130" t="s">
        <v>615</v>
      </c>
      <c r="C146" s="100" t="s">
        <v>616</v>
      </c>
      <c r="D146" s="50">
        <v>45200</v>
      </c>
      <c r="E146" s="51" t="s">
        <v>464</v>
      </c>
      <c r="F146" s="100" t="s">
        <v>70</v>
      </c>
      <c r="G146" s="100"/>
      <c r="H146" s="49" t="s">
        <v>57</v>
      </c>
      <c r="I146" s="100" t="s">
        <v>238</v>
      </c>
      <c r="J146" s="49"/>
      <c r="K146" s="100" t="s">
        <v>57</v>
      </c>
      <c r="L146" s="147"/>
      <c r="M146" s="131"/>
      <c r="N146" s="100" t="s">
        <v>617</v>
      </c>
      <c r="O146" s="100"/>
      <c r="P146" s="131"/>
      <c r="Q146" s="133"/>
      <c r="R146" s="135">
        <v>45478</v>
      </c>
      <c r="T146" s="246">
        <v>1</v>
      </c>
      <c r="V146" s="47" t="s">
        <v>150</v>
      </c>
      <c r="W146" s="47" t="str">
        <f t="shared" si="2"/>
        <v/>
      </c>
      <c r="X146" s="47" t="s">
        <v>349</v>
      </c>
      <c r="Y146" s="47" t="s">
        <v>1833</v>
      </c>
      <c r="Z146" s="277"/>
    </row>
    <row r="147" spans="1:26" s="47" customFormat="1" ht="12" x14ac:dyDescent="0.2">
      <c r="A147" s="264">
        <v>579</v>
      </c>
      <c r="B147" s="48" t="s">
        <v>618</v>
      </c>
      <c r="C147" s="49" t="s">
        <v>619</v>
      </c>
      <c r="D147" s="50">
        <v>45200</v>
      </c>
      <c r="E147" s="49" t="s">
        <v>206</v>
      </c>
      <c r="F147" s="49" t="s">
        <v>70</v>
      </c>
      <c r="G147" s="49" t="s">
        <v>122</v>
      </c>
      <c r="H147" s="49" t="s">
        <v>57</v>
      </c>
      <c r="I147" s="49" t="s">
        <v>162</v>
      </c>
      <c r="J147" s="49" t="s">
        <v>239</v>
      </c>
      <c r="K147" s="49" t="s">
        <v>57</v>
      </c>
      <c r="L147" s="49"/>
      <c r="M147" s="50"/>
      <c r="N147" s="49"/>
      <c r="O147" s="49"/>
      <c r="P147" s="50"/>
      <c r="Q147" s="52" t="s">
        <v>620</v>
      </c>
      <c r="R147" s="36"/>
      <c r="S147" s="47" t="s">
        <v>149</v>
      </c>
      <c r="T147" s="246">
        <v>1</v>
      </c>
      <c r="V147" s="47" t="s">
        <v>195</v>
      </c>
      <c r="W147" s="47" t="str">
        <f t="shared" si="2"/>
        <v/>
      </c>
      <c r="X147" s="47" t="s">
        <v>349</v>
      </c>
      <c r="Y147" s="47" t="s">
        <v>1833</v>
      </c>
      <c r="Z147" s="277"/>
    </row>
    <row r="148" spans="1:26" s="47" customFormat="1" ht="12" x14ac:dyDescent="0.2">
      <c r="A148" s="264">
        <v>657</v>
      </c>
      <c r="B148" s="53" t="s">
        <v>621</v>
      </c>
      <c r="C148" s="54" t="s">
        <v>473</v>
      </c>
      <c r="D148" s="50">
        <v>45201</v>
      </c>
      <c r="E148" s="49" t="s">
        <v>622</v>
      </c>
      <c r="F148" s="49" t="s">
        <v>72</v>
      </c>
      <c r="G148" s="49" t="s">
        <v>124</v>
      </c>
      <c r="H148" s="49" t="s">
        <v>57</v>
      </c>
      <c r="I148" s="49" t="s">
        <v>481</v>
      </c>
      <c r="J148" s="49" t="s">
        <v>72</v>
      </c>
      <c r="K148" s="49" t="s">
        <v>57</v>
      </c>
      <c r="L148" s="49"/>
      <c r="M148" s="50"/>
      <c r="N148" s="49"/>
      <c r="O148" s="49"/>
      <c r="P148" s="50"/>
      <c r="Q148" s="52"/>
      <c r="R148" s="36"/>
      <c r="S148" s="47" t="s">
        <v>149</v>
      </c>
      <c r="T148" s="246">
        <v>1</v>
      </c>
      <c r="V148" s="47" t="s">
        <v>150</v>
      </c>
      <c r="W148" s="47" t="str">
        <f t="shared" si="2"/>
        <v/>
      </c>
      <c r="X148" s="47" t="s">
        <v>349</v>
      </c>
      <c r="Y148" s="47" t="s">
        <v>1833</v>
      </c>
      <c r="Z148" s="277"/>
    </row>
    <row r="149" spans="1:26" s="47" customFormat="1" ht="12" x14ac:dyDescent="0.2">
      <c r="A149" s="264">
        <v>656</v>
      </c>
      <c r="B149" s="48" t="s">
        <v>623</v>
      </c>
      <c r="C149" s="49" t="s">
        <v>624</v>
      </c>
      <c r="D149" s="50">
        <v>45215</v>
      </c>
      <c r="E149" s="49" t="s">
        <v>464</v>
      </c>
      <c r="F149" s="49" t="s">
        <v>70</v>
      </c>
      <c r="G149" s="49" t="s">
        <v>124</v>
      </c>
      <c r="H149" s="49" t="s">
        <v>57</v>
      </c>
      <c r="I149" s="49" t="s">
        <v>238</v>
      </c>
      <c r="J149" s="49" t="s">
        <v>72</v>
      </c>
      <c r="K149" s="49" t="s">
        <v>57</v>
      </c>
      <c r="L149" s="49"/>
      <c r="M149" s="50"/>
      <c r="N149" s="49"/>
      <c r="O149" s="49"/>
      <c r="P149" s="50"/>
      <c r="Q149" s="52" t="s">
        <v>625</v>
      </c>
      <c r="R149" s="36"/>
      <c r="S149" s="47" t="s">
        <v>213</v>
      </c>
      <c r="T149" s="246">
        <v>0.8</v>
      </c>
      <c r="V149" s="47" t="s">
        <v>195</v>
      </c>
      <c r="W149" s="47" t="str">
        <f t="shared" si="2"/>
        <v/>
      </c>
      <c r="X149" s="47" t="s">
        <v>349</v>
      </c>
      <c r="Y149" s="47" t="s">
        <v>1833</v>
      </c>
      <c r="Z149" s="277"/>
    </row>
    <row r="150" spans="1:26" s="47" customFormat="1" ht="12" x14ac:dyDescent="0.2">
      <c r="A150" s="264">
        <v>660</v>
      </c>
      <c r="B150" s="48" t="s">
        <v>626</v>
      </c>
      <c r="C150" s="49" t="s">
        <v>627</v>
      </c>
      <c r="D150" s="50">
        <v>45229</v>
      </c>
      <c r="E150" s="49" t="s">
        <v>628</v>
      </c>
      <c r="F150" s="49" t="s">
        <v>70</v>
      </c>
      <c r="G150" s="49" t="s">
        <v>581</v>
      </c>
      <c r="H150" s="49" t="s">
        <v>56</v>
      </c>
      <c r="I150" s="49" t="s">
        <v>221</v>
      </c>
      <c r="J150" s="49" t="s">
        <v>581</v>
      </c>
      <c r="K150" s="49" t="s">
        <v>223</v>
      </c>
      <c r="L150" s="49"/>
      <c r="M150" s="50"/>
      <c r="N150" s="49"/>
      <c r="O150" s="49"/>
      <c r="P150" s="50"/>
      <c r="Q150" s="52"/>
      <c r="R150" s="36"/>
      <c r="S150" s="47" t="s">
        <v>149</v>
      </c>
      <c r="T150" s="246">
        <v>1</v>
      </c>
      <c r="V150" s="47" t="s">
        <v>150</v>
      </c>
      <c r="W150" s="47" t="str">
        <f t="shared" si="2"/>
        <v/>
      </c>
      <c r="X150" s="47" t="s">
        <v>1833</v>
      </c>
      <c r="Y150" s="47" t="s">
        <v>1833</v>
      </c>
      <c r="Z150" s="277">
        <v>45870</v>
      </c>
    </row>
    <row r="151" spans="1:26" s="47" customFormat="1" ht="13.15" customHeight="1" x14ac:dyDescent="0.2">
      <c r="A151" s="264">
        <v>659</v>
      </c>
      <c r="B151" s="48" t="s">
        <v>629</v>
      </c>
      <c r="C151" s="49" t="s">
        <v>630</v>
      </c>
      <c r="D151" s="50">
        <v>45231</v>
      </c>
      <c r="E151" s="49" t="s">
        <v>631</v>
      </c>
      <c r="F151" s="49" t="s">
        <v>70</v>
      </c>
      <c r="G151" s="49" t="s">
        <v>272</v>
      </c>
      <c r="H151" s="49" t="s">
        <v>56</v>
      </c>
      <c r="I151" s="49" t="s">
        <v>288</v>
      </c>
      <c r="J151" s="49" t="s">
        <v>272</v>
      </c>
      <c r="K151" s="49" t="s">
        <v>223</v>
      </c>
      <c r="L151" s="49"/>
      <c r="M151" s="50"/>
      <c r="N151" s="49"/>
      <c r="O151" s="49"/>
      <c r="P151" s="50"/>
      <c r="Q151" s="52"/>
      <c r="R151" s="36"/>
      <c r="S151" s="47" t="s">
        <v>149</v>
      </c>
      <c r="T151" s="246">
        <v>1</v>
      </c>
      <c r="V151" s="47" t="s">
        <v>195</v>
      </c>
      <c r="W151" s="47" t="str">
        <f t="shared" si="2"/>
        <v/>
      </c>
      <c r="X151" s="47" t="s">
        <v>1833</v>
      </c>
      <c r="Y151" s="47" t="s">
        <v>1833</v>
      </c>
      <c r="Z151" s="277">
        <v>45870</v>
      </c>
    </row>
    <row r="152" spans="1:26" s="47" customFormat="1" ht="12" x14ac:dyDescent="0.2">
      <c r="A152" s="264">
        <v>662</v>
      </c>
      <c r="B152" s="48" t="s">
        <v>632</v>
      </c>
      <c r="C152" s="49" t="s">
        <v>633</v>
      </c>
      <c r="D152" s="50">
        <v>45236</v>
      </c>
      <c r="E152" s="49" t="s">
        <v>169</v>
      </c>
      <c r="F152" s="49" t="s">
        <v>70</v>
      </c>
      <c r="G152" s="49" t="s">
        <v>120</v>
      </c>
      <c r="H152" s="49" t="s">
        <v>57</v>
      </c>
      <c r="I152" s="49" t="s">
        <v>231</v>
      </c>
      <c r="J152" s="49" t="s">
        <v>72</v>
      </c>
      <c r="K152" s="49" t="s">
        <v>57</v>
      </c>
      <c r="L152" s="49"/>
      <c r="M152" s="50"/>
      <c r="N152" s="49"/>
      <c r="O152" s="49"/>
      <c r="P152" s="50"/>
      <c r="Q152" s="52"/>
      <c r="R152" s="36"/>
      <c r="S152" s="47" t="s">
        <v>149</v>
      </c>
      <c r="T152" s="246">
        <v>1</v>
      </c>
      <c r="V152" s="47" t="s">
        <v>150</v>
      </c>
      <c r="W152" s="47" t="str">
        <f t="shared" si="2"/>
        <v/>
      </c>
      <c r="X152" s="47" t="s">
        <v>349</v>
      </c>
      <c r="Y152" s="47" t="s">
        <v>1833</v>
      </c>
      <c r="Z152" s="277"/>
    </row>
    <row r="153" spans="1:26" s="47" customFormat="1" ht="12" x14ac:dyDescent="0.2">
      <c r="A153" s="264">
        <v>647</v>
      </c>
      <c r="B153" s="48" t="s">
        <v>634</v>
      </c>
      <c r="C153" s="49" t="s">
        <v>463</v>
      </c>
      <c r="D153" s="50">
        <v>45253</v>
      </c>
      <c r="E153" s="49" t="s">
        <v>372</v>
      </c>
      <c r="F153" s="49" t="s">
        <v>70</v>
      </c>
      <c r="G153" s="49" t="s">
        <v>120</v>
      </c>
      <c r="H153" s="49" t="s">
        <v>61</v>
      </c>
      <c r="I153" s="49" t="s">
        <v>314</v>
      </c>
      <c r="J153" s="49" t="s">
        <v>249</v>
      </c>
      <c r="K153" s="49" t="s">
        <v>61</v>
      </c>
      <c r="L153" s="49"/>
      <c r="M153" s="50"/>
      <c r="N153" s="49"/>
      <c r="O153" s="49"/>
      <c r="P153" s="50"/>
      <c r="Q153" s="52"/>
      <c r="R153" s="138"/>
      <c r="S153" s="47" t="s">
        <v>149</v>
      </c>
      <c r="T153" s="246">
        <v>1</v>
      </c>
      <c r="V153" s="47" t="s">
        <v>195</v>
      </c>
      <c r="W153" s="47" t="str">
        <f t="shared" si="2"/>
        <v/>
      </c>
      <c r="X153" s="47" t="s">
        <v>349</v>
      </c>
      <c r="Y153" s="47" t="s">
        <v>1833</v>
      </c>
      <c r="Z153" s="277"/>
    </row>
    <row r="154" spans="1:26" s="47" customFormat="1" ht="12" hidden="1" x14ac:dyDescent="0.2">
      <c r="A154" s="264">
        <v>668</v>
      </c>
      <c r="B154" s="48" t="s">
        <v>635</v>
      </c>
      <c r="C154" s="49" t="s">
        <v>636</v>
      </c>
      <c r="D154" s="50">
        <v>45279</v>
      </c>
      <c r="E154" s="49" t="s">
        <v>637</v>
      </c>
      <c r="F154" s="49" t="s">
        <v>70</v>
      </c>
      <c r="G154" s="49" t="s">
        <v>106</v>
      </c>
      <c r="H154" s="49" t="s">
        <v>46</v>
      </c>
      <c r="I154" s="49" t="s">
        <v>606</v>
      </c>
      <c r="J154" s="49" t="s">
        <v>284</v>
      </c>
      <c r="K154" s="49" t="s">
        <v>46</v>
      </c>
      <c r="L154" s="49"/>
      <c r="M154" s="50"/>
      <c r="N154" s="49"/>
      <c r="O154" s="49"/>
      <c r="P154" s="50"/>
      <c r="Q154" s="52" t="s">
        <v>638</v>
      </c>
      <c r="R154" s="138">
        <v>45646</v>
      </c>
      <c r="S154" s="47" t="s">
        <v>213</v>
      </c>
      <c r="T154" s="246">
        <v>1</v>
      </c>
      <c r="U154" s="47" t="s">
        <v>349</v>
      </c>
      <c r="V154" s="47" t="e">
        <v>#N/A</v>
      </c>
      <c r="W154" s="47" t="str">
        <f t="shared" si="2"/>
        <v/>
      </c>
      <c r="X154" s="47" t="s">
        <v>349</v>
      </c>
      <c r="Y154" s="47" t="s">
        <v>1833</v>
      </c>
      <c r="Z154" s="277"/>
    </row>
    <row r="155" spans="1:26" s="47" customFormat="1" ht="12" x14ac:dyDescent="0.2">
      <c r="A155" s="264">
        <v>675</v>
      </c>
      <c r="B155" s="48" t="s">
        <v>639</v>
      </c>
      <c r="C155" s="49" t="s">
        <v>640</v>
      </c>
      <c r="D155" s="50">
        <v>45295</v>
      </c>
      <c r="E155" s="49" t="s">
        <v>206</v>
      </c>
      <c r="F155" s="49" t="s">
        <v>70</v>
      </c>
      <c r="G155" s="49" t="s">
        <v>122</v>
      </c>
      <c r="H155" s="49" t="s">
        <v>57</v>
      </c>
      <c r="I155" s="49" t="s">
        <v>263</v>
      </c>
      <c r="J155" s="49" t="s">
        <v>72</v>
      </c>
      <c r="K155" s="49" t="s">
        <v>57</v>
      </c>
      <c r="L155" s="49"/>
      <c r="M155" s="50"/>
      <c r="N155" s="49"/>
      <c r="O155" s="49"/>
      <c r="P155" s="50"/>
      <c r="Q155" s="52"/>
      <c r="R155" s="36"/>
      <c r="S155" s="47" t="s">
        <v>149</v>
      </c>
      <c r="T155" s="246">
        <v>1</v>
      </c>
      <c r="V155" s="47" t="s">
        <v>150</v>
      </c>
      <c r="W155" s="47" t="str">
        <f t="shared" si="2"/>
        <v/>
      </c>
      <c r="X155" s="47" t="s">
        <v>349</v>
      </c>
      <c r="Y155" s="47" t="s">
        <v>1833</v>
      </c>
      <c r="Z155" s="277"/>
    </row>
    <row r="156" spans="1:26" s="47" customFormat="1" ht="12" x14ac:dyDescent="0.2">
      <c r="A156" s="264">
        <v>670</v>
      </c>
      <c r="B156" s="48" t="s">
        <v>641</v>
      </c>
      <c r="C156" s="57" t="s">
        <v>642</v>
      </c>
      <c r="D156" s="50">
        <v>45306</v>
      </c>
      <c r="E156" s="49" t="s">
        <v>318</v>
      </c>
      <c r="F156" s="49" t="s">
        <v>73</v>
      </c>
      <c r="G156" s="49" t="s">
        <v>122</v>
      </c>
      <c r="H156" s="49" t="s">
        <v>61</v>
      </c>
      <c r="I156" s="49" t="s">
        <v>400</v>
      </c>
      <c r="J156" s="49" t="s">
        <v>249</v>
      </c>
      <c r="K156" s="49" t="s">
        <v>59</v>
      </c>
      <c r="L156" s="49" t="s">
        <v>61</v>
      </c>
      <c r="M156" s="50">
        <v>45516</v>
      </c>
      <c r="N156" s="49" t="s">
        <v>549</v>
      </c>
      <c r="O156" s="49" t="s">
        <v>175</v>
      </c>
      <c r="P156" s="50"/>
      <c r="Q156" s="52"/>
      <c r="R156" s="36"/>
      <c r="S156" s="47" t="s">
        <v>149</v>
      </c>
      <c r="T156" s="246">
        <v>1</v>
      </c>
      <c r="V156" s="47" t="s">
        <v>150</v>
      </c>
      <c r="W156" s="47" t="str">
        <f t="shared" si="2"/>
        <v/>
      </c>
      <c r="X156" s="47" t="s">
        <v>349</v>
      </c>
      <c r="Y156" s="47" t="s">
        <v>1833</v>
      </c>
      <c r="Z156" s="277"/>
    </row>
    <row r="157" spans="1:26" s="47" customFormat="1" ht="12" x14ac:dyDescent="0.2">
      <c r="A157" s="264">
        <v>671</v>
      </c>
      <c r="B157" s="53" t="s">
        <v>643</v>
      </c>
      <c r="C157" s="54" t="s">
        <v>644</v>
      </c>
      <c r="D157" s="50">
        <v>45313</v>
      </c>
      <c r="E157" s="49" t="s">
        <v>645</v>
      </c>
      <c r="F157" s="49" t="s">
        <v>73</v>
      </c>
      <c r="G157" s="49" t="s">
        <v>124</v>
      </c>
      <c r="H157" s="49" t="s">
        <v>61</v>
      </c>
      <c r="I157" s="49" t="s">
        <v>646</v>
      </c>
      <c r="J157" s="49" t="s">
        <v>647</v>
      </c>
      <c r="K157" s="49" t="s">
        <v>61</v>
      </c>
      <c r="L157" s="49"/>
      <c r="M157" s="50"/>
      <c r="N157" s="49"/>
      <c r="O157" s="49"/>
      <c r="P157" s="50"/>
      <c r="Q157" s="52"/>
      <c r="R157" s="36"/>
      <c r="S157" s="47" t="s">
        <v>149</v>
      </c>
      <c r="T157" s="246">
        <v>1</v>
      </c>
      <c r="V157" s="47" t="s">
        <v>195</v>
      </c>
      <c r="W157" s="47" t="str">
        <f t="shared" si="2"/>
        <v/>
      </c>
      <c r="X157" s="47" t="s">
        <v>349</v>
      </c>
      <c r="Y157" s="47" t="s">
        <v>1833</v>
      </c>
      <c r="Z157" s="277"/>
    </row>
    <row r="158" spans="1:26" s="47" customFormat="1" ht="12" x14ac:dyDescent="0.2">
      <c r="A158" s="264">
        <v>672</v>
      </c>
      <c r="B158" s="53" t="s">
        <v>648</v>
      </c>
      <c r="C158" s="54" t="s">
        <v>649</v>
      </c>
      <c r="D158" s="50">
        <v>45334</v>
      </c>
      <c r="E158" s="49" t="s">
        <v>169</v>
      </c>
      <c r="F158" s="49" t="s">
        <v>72</v>
      </c>
      <c r="G158" s="49" t="s">
        <v>120</v>
      </c>
      <c r="H158" s="49" t="s">
        <v>57</v>
      </c>
      <c r="I158" s="49" t="s">
        <v>481</v>
      </c>
      <c r="J158" s="49" t="s">
        <v>72</v>
      </c>
      <c r="K158" s="49" t="s">
        <v>57</v>
      </c>
      <c r="L158" s="49"/>
      <c r="M158" s="50"/>
      <c r="N158" s="49"/>
      <c r="O158" s="49"/>
      <c r="P158" s="50"/>
      <c r="Q158" s="52"/>
      <c r="R158" s="36"/>
      <c r="S158" s="47" t="s">
        <v>149</v>
      </c>
      <c r="T158" s="246">
        <v>1</v>
      </c>
      <c r="V158" s="47" t="s">
        <v>150</v>
      </c>
      <c r="W158" s="47" t="str">
        <f t="shared" si="2"/>
        <v/>
      </c>
      <c r="X158" s="47" t="s">
        <v>349</v>
      </c>
      <c r="Y158" s="47" t="s">
        <v>1833</v>
      </c>
      <c r="Z158" s="277"/>
    </row>
    <row r="159" spans="1:26" s="47" customFormat="1" ht="12" x14ac:dyDescent="0.2">
      <c r="A159" s="264">
        <v>676</v>
      </c>
      <c r="B159" s="48" t="s">
        <v>650</v>
      </c>
      <c r="C159" s="49" t="s">
        <v>651</v>
      </c>
      <c r="D159" s="50">
        <v>45363</v>
      </c>
      <c r="E159" s="49" t="s">
        <v>652</v>
      </c>
      <c r="F159" s="49" t="s">
        <v>70</v>
      </c>
      <c r="G159" s="49" t="s">
        <v>338</v>
      </c>
      <c r="H159" s="49" t="s">
        <v>56</v>
      </c>
      <c r="I159" s="49" t="s">
        <v>288</v>
      </c>
      <c r="J159" s="49" t="s">
        <v>272</v>
      </c>
      <c r="K159" s="49" t="s">
        <v>223</v>
      </c>
      <c r="L159" s="49"/>
      <c r="M159" s="50"/>
      <c r="N159" s="49"/>
      <c r="O159" s="49"/>
      <c r="P159" s="50"/>
      <c r="Q159" s="52"/>
      <c r="R159" s="36"/>
      <c r="S159" s="47" t="s">
        <v>149</v>
      </c>
      <c r="T159" s="246">
        <v>1</v>
      </c>
      <c r="V159" s="47" t="s">
        <v>195</v>
      </c>
      <c r="W159" s="47" t="str">
        <f t="shared" si="2"/>
        <v/>
      </c>
      <c r="X159" s="47" t="s">
        <v>1833</v>
      </c>
      <c r="Y159" s="47" t="s">
        <v>1833</v>
      </c>
      <c r="Z159" s="277">
        <v>45870</v>
      </c>
    </row>
    <row r="160" spans="1:26" s="47" customFormat="1" ht="12" x14ac:dyDescent="0.2">
      <c r="A160" s="264">
        <v>522</v>
      </c>
      <c r="B160" s="48" t="s">
        <v>653</v>
      </c>
      <c r="C160" s="49" t="s">
        <v>654</v>
      </c>
      <c r="D160" s="50">
        <v>45365</v>
      </c>
      <c r="E160" s="49" t="s">
        <v>464</v>
      </c>
      <c r="F160" s="49" t="s">
        <v>70</v>
      </c>
      <c r="G160" s="49" t="s">
        <v>124</v>
      </c>
      <c r="H160" s="49" t="s">
        <v>61</v>
      </c>
      <c r="I160" s="49" t="s">
        <v>174</v>
      </c>
      <c r="J160" s="49" t="s">
        <v>175</v>
      </c>
      <c r="K160" s="49" t="s">
        <v>61</v>
      </c>
      <c r="L160" s="49"/>
      <c r="M160" s="50"/>
      <c r="N160" s="49"/>
      <c r="O160" s="49"/>
      <c r="P160" s="50"/>
      <c r="Q160" s="52"/>
      <c r="R160" s="138">
        <v>46010</v>
      </c>
      <c r="S160" s="47" t="s">
        <v>149</v>
      </c>
      <c r="T160" s="246">
        <v>1</v>
      </c>
      <c r="V160" s="47" t="s">
        <v>195</v>
      </c>
      <c r="W160" s="47" t="str">
        <f t="shared" si="2"/>
        <v/>
      </c>
      <c r="X160" s="47" t="s">
        <v>349</v>
      </c>
      <c r="Y160" s="47" t="s">
        <v>1833</v>
      </c>
      <c r="Z160" s="277"/>
    </row>
    <row r="161" spans="1:26" s="47" customFormat="1" ht="12" x14ac:dyDescent="0.2">
      <c r="A161" s="264">
        <v>678</v>
      </c>
      <c r="B161" s="48" t="s">
        <v>655</v>
      </c>
      <c r="C161" s="49" t="s">
        <v>656</v>
      </c>
      <c r="D161" s="50">
        <v>45376</v>
      </c>
      <c r="E161" s="49" t="s">
        <v>206</v>
      </c>
      <c r="F161" s="49" t="s">
        <v>70</v>
      </c>
      <c r="G161" s="49" t="s">
        <v>122</v>
      </c>
      <c r="H161" s="49" t="s">
        <v>61</v>
      </c>
      <c r="I161" s="49" t="s">
        <v>400</v>
      </c>
      <c r="J161" s="49" t="s">
        <v>175</v>
      </c>
      <c r="K161" s="49" t="s">
        <v>61</v>
      </c>
      <c r="L161" s="49"/>
      <c r="M161" s="50"/>
      <c r="N161" s="49"/>
      <c r="O161" s="49"/>
      <c r="P161" s="50"/>
      <c r="Q161" s="52"/>
      <c r="R161" s="36"/>
      <c r="S161" s="47" t="s">
        <v>149</v>
      </c>
      <c r="T161" s="246">
        <v>1</v>
      </c>
      <c r="V161" s="47" t="s">
        <v>150</v>
      </c>
      <c r="W161" s="47" t="str">
        <f t="shared" si="2"/>
        <v/>
      </c>
      <c r="X161" s="47" t="s">
        <v>349</v>
      </c>
      <c r="Y161" s="47" t="s">
        <v>1833</v>
      </c>
      <c r="Z161" s="277"/>
    </row>
    <row r="162" spans="1:26" s="47" customFormat="1" ht="12" x14ac:dyDescent="0.2">
      <c r="A162" s="264">
        <v>684</v>
      </c>
      <c r="B162" s="48" t="s">
        <v>657</v>
      </c>
      <c r="C162" s="49" t="s">
        <v>658</v>
      </c>
      <c r="D162" s="50">
        <v>45384</v>
      </c>
      <c r="E162" s="49" t="s">
        <v>659</v>
      </c>
      <c r="F162" s="49" t="s">
        <v>70</v>
      </c>
      <c r="G162" s="49" t="s">
        <v>121</v>
      </c>
      <c r="H162" s="49" t="s">
        <v>97</v>
      </c>
      <c r="I162" s="49" t="s">
        <v>660</v>
      </c>
      <c r="J162" s="49" t="s">
        <v>60</v>
      </c>
      <c r="K162" s="49" t="s">
        <v>60</v>
      </c>
      <c r="L162" s="49"/>
      <c r="M162" s="50"/>
      <c r="N162" s="49"/>
      <c r="O162" s="49"/>
      <c r="P162" s="50"/>
      <c r="Q162" s="52"/>
      <c r="R162" s="36"/>
      <c r="S162" s="47" t="s">
        <v>149</v>
      </c>
      <c r="T162" s="246">
        <v>1</v>
      </c>
      <c r="V162" s="47" t="s">
        <v>150</v>
      </c>
      <c r="W162" s="47" t="str">
        <f t="shared" si="2"/>
        <v/>
      </c>
      <c r="X162" s="47" t="s">
        <v>1833</v>
      </c>
      <c r="Y162" s="47" t="s">
        <v>1833</v>
      </c>
      <c r="Z162" s="277">
        <v>45901</v>
      </c>
    </row>
    <row r="163" spans="1:26" s="47" customFormat="1" ht="12.75" customHeight="1" x14ac:dyDescent="0.2">
      <c r="A163" s="264">
        <v>674</v>
      </c>
      <c r="B163" s="48" t="s">
        <v>661</v>
      </c>
      <c r="C163" s="49" t="s">
        <v>662</v>
      </c>
      <c r="D163" s="50">
        <v>45385</v>
      </c>
      <c r="E163" s="49" t="s">
        <v>663</v>
      </c>
      <c r="F163" s="49" t="s">
        <v>70</v>
      </c>
      <c r="G163" s="49" t="s">
        <v>121</v>
      </c>
      <c r="H163" s="49" t="s">
        <v>106</v>
      </c>
      <c r="I163" s="100" t="s">
        <v>283</v>
      </c>
      <c r="J163" s="49" t="s">
        <v>513</v>
      </c>
      <c r="K163" s="49" t="s">
        <v>46</v>
      </c>
      <c r="L163" s="49"/>
      <c r="M163" s="50"/>
      <c r="N163" s="49"/>
      <c r="O163" s="49"/>
      <c r="P163" s="50"/>
      <c r="Q163" s="52"/>
      <c r="R163" s="36"/>
      <c r="S163" s="47" t="s">
        <v>149</v>
      </c>
      <c r="T163" s="246">
        <v>1</v>
      </c>
      <c r="V163" s="47" t="s">
        <v>150</v>
      </c>
      <c r="W163" s="47" t="str">
        <f t="shared" si="2"/>
        <v/>
      </c>
      <c r="X163" s="47" t="s">
        <v>349</v>
      </c>
      <c r="Y163" s="47" t="s">
        <v>349</v>
      </c>
      <c r="Z163" s="277">
        <v>45992</v>
      </c>
    </row>
    <row r="164" spans="1:26" s="47" customFormat="1" ht="12" x14ac:dyDescent="0.2">
      <c r="A164" s="264">
        <v>680</v>
      </c>
      <c r="B164" s="48" t="s">
        <v>664</v>
      </c>
      <c r="C164" s="49" t="s">
        <v>665</v>
      </c>
      <c r="D164" s="50">
        <v>45386</v>
      </c>
      <c r="E164" s="49" t="s">
        <v>169</v>
      </c>
      <c r="F164" s="49" t="s">
        <v>70</v>
      </c>
      <c r="G164" s="49" t="s">
        <v>120</v>
      </c>
      <c r="H164" s="49" t="s">
        <v>61</v>
      </c>
      <c r="I164" s="49" t="s">
        <v>314</v>
      </c>
      <c r="J164" s="49" t="s">
        <v>175</v>
      </c>
      <c r="K164" s="49" t="s">
        <v>61</v>
      </c>
      <c r="L164" s="49"/>
      <c r="M164" s="50"/>
      <c r="N164" s="49"/>
      <c r="O164" s="49"/>
      <c r="P164" s="50"/>
      <c r="Q164" s="52"/>
      <c r="R164" s="36"/>
      <c r="S164" s="47" t="s">
        <v>149</v>
      </c>
      <c r="T164" s="246">
        <v>1</v>
      </c>
      <c r="V164" s="47" t="s">
        <v>150</v>
      </c>
      <c r="W164" s="47" t="str">
        <f t="shared" si="2"/>
        <v/>
      </c>
      <c r="X164" s="47" t="s">
        <v>349</v>
      </c>
      <c r="Y164" s="47" t="s">
        <v>1833</v>
      </c>
      <c r="Z164" s="277"/>
    </row>
    <row r="165" spans="1:26" s="47" customFormat="1" ht="12" hidden="1" x14ac:dyDescent="0.2">
      <c r="A165" s="264">
        <v>682</v>
      </c>
      <c r="B165" s="130" t="s">
        <v>547</v>
      </c>
      <c r="C165" s="100" t="s">
        <v>666</v>
      </c>
      <c r="D165" s="50">
        <v>45404</v>
      </c>
      <c r="E165" s="49" t="s">
        <v>169</v>
      </c>
      <c r="F165" s="100" t="s">
        <v>73</v>
      </c>
      <c r="G165" s="100" t="s">
        <v>120</v>
      </c>
      <c r="H165" s="49" t="s">
        <v>61</v>
      </c>
      <c r="I165" s="100" t="s">
        <v>667</v>
      </c>
      <c r="J165" s="49"/>
      <c r="K165" s="100" t="s">
        <v>61</v>
      </c>
      <c r="L165" s="147"/>
      <c r="M165" s="131"/>
      <c r="N165" s="100" t="s">
        <v>668</v>
      </c>
      <c r="O165" s="100" t="s">
        <v>249</v>
      </c>
      <c r="P165" s="131"/>
      <c r="Q165" s="133"/>
      <c r="R165" s="135">
        <v>45485</v>
      </c>
      <c r="T165" s="246">
        <v>1</v>
      </c>
      <c r="V165" s="47" t="e">
        <v>#N/A</v>
      </c>
      <c r="W165" s="47" t="str">
        <f t="shared" si="2"/>
        <v/>
      </c>
      <c r="X165" s="47" t="s">
        <v>349</v>
      </c>
      <c r="Y165" s="47" t="s">
        <v>1833</v>
      </c>
      <c r="Z165" s="277"/>
    </row>
    <row r="166" spans="1:26" s="47" customFormat="1" ht="12" x14ac:dyDescent="0.2">
      <c r="A166" s="264">
        <v>679</v>
      </c>
      <c r="B166" s="53" t="s">
        <v>669</v>
      </c>
      <c r="C166" s="54" t="s">
        <v>670</v>
      </c>
      <c r="D166" s="50">
        <v>45404</v>
      </c>
      <c r="E166" s="49" t="s">
        <v>169</v>
      </c>
      <c r="F166" s="49" t="s">
        <v>73</v>
      </c>
      <c r="G166" s="49" t="s">
        <v>120</v>
      </c>
      <c r="H166" s="49" t="s">
        <v>61</v>
      </c>
      <c r="I166" s="49" t="s">
        <v>552</v>
      </c>
      <c r="J166" s="49" t="s">
        <v>249</v>
      </c>
      <c r="K166" s="49" t="s">
        <v>61</v>
      </c>
      <c r="L166" s="49"/>
      <c r="M166" s="50"/>
      <c r="N166" s="49"/>
      <c r="O166" s="49" t="s">
        <v>249</v>
      </c>
      <c r="P166" s="50"/>
      <c r="Q166" s="52"/>
      <c r="R166" s="36"/>
      <c r="S166" s="47" t="s">
        <v>149</v>
      </c>
      <c r="T166" s="246">
        <v>1</v>
      </c>
      <c r="V166" s="47" t="s">
        <v>195</v>
      </c>
      <c r="W166" s="47" t="str">
        <f t="shared" si="2"/>
        <v/>
      </c>
      <c r="X166" s="47" t="s">
        <v>349</v>
      </c>
      <c r="Y166" s="47" t="s">
        <v>1833</v>
      </c>
      <c r="Z166" s="277"/>
    </row>
    <row r="167" spans="1:26" s="47" customFormat="1" ht="12" x14ac:dyDescent="0.2">
      <c r="A167" s="264">
        <v>683</v>
      </c>
      <c r="B167" s="48" t="s">
        <v>671</v>
      </c>
      <c r="C167" s="49" t="s">
        <v>672</v>
      </c>
      <c r="D167" s="50">
        <v>45412</v>
      </c>
      <c r="E167" s="49" t="s">
        <v>673</v>
      </c>
      <c r="F167" s="49" t="s">
        <v>70</v>
      </c>
      <c r="G167" s="49" t="s">
        <v>365</v>
      </c>
      <c r="H167" s="49" t="s">
        <v>106</v>
      </c>
      <c r="I167" s="49" t="s">
        <v>357</v>
      </c>
      <c r="J167" s="49" t="s">
        <v>366</v>
      </c>
      <c r="K167" s="49" t="s">
        <v>46</v>
      </c>
      <c r="L167" s="49"/>
      <c r="M167" s="50"/>
      <c r="N167" s="49"/>
      <c r="O167" s="49"/>
      <c r="P167" s="50"/>
      <c r="Q167" s="52"/>
      <c r="R167" s="36"/>
      <c r="S167" s="47" t="s">
        <v>149</v>
      </c>
      <c r="T167" s="246">
        <v>1</v>
      </c>
      <c r="V167" s="47" t="s">
        <v>150</v>
      </c>
      <c r="W167" s="47" t="str">
        <f t="shared" si="2"/>
        <v/>
      </c>
      <c r="X167" s="47" t="s">
        <v>349</v>
      </c>
      <c r="Y167" s="47" t="s">
        <v>349</v>
      </c>
      <c r="Z167" s="277">
        <v>45992</v>
      </c>
    </row>
    <row r="168" spans="1:26" s="47" customFormat="1" ht="12" x14ac:dyDescent="0.2">
      <c r="A168" s="264">
        <v>744</v>
      </c>
      <c r="B168" s="48" t="s">
        <v>674</v>
      </c>
      <c r="C168" s="49" t="s">
        <v>675</v>
      </c>
      <c r="D168" s="50">
        <v>45419</v>
      </c>
      <c r="E168" s="49" t="s">
        <v>169</v>
      </c>
      <c r="F168" s="49" t="s">
        <v>70</v>
      </c>
      <c r="G168" s="49" t="s">
        <v>120</v>
      </c>
      <c r="H168" s="49" t="s">
        <v>61</v>
      </c>
      <c r="I168" s="177" t="s">
        <v>314</v>
      </c>
      <c r="J168" s="49" t="s">
        <v>175</v>
      </c>
      <c r="K168" s="49"/>
      <c r="L168" s="49"/>
      <c r="M168" s="50"/>
      <c r="N168" s="49"/>
      <c r="O168" s="49"/>
      <c r="P168" s="50"/>
      <c r="Q168" s="52"/>
      <c r="S168" s="47" t="s">
        <v>149</v>
      </c>
      <c r="T168" s="246">
        <v>1</v>
      </c>
      <c r="V168" s="47" t="s">
        <v>150</v>
      </c>
      <c r="W168" s="47" t="str">
        <f t="shared" si="2"/>
        <v/>
      </c>
      <c r="X168" s="47" t="s">
        <v>349</v>
      </c>
      <c r="Y168" s="47" t="s">
        <v>1833</v>
      </c>
      <c r="Z168" s="277"/>
    </row>
    <row r="169" spans="1:26" s="47" customFormat="1" ht="12" x14ac:dyDescent="0.2">
      <c r="A169" s="264">
        <v>685</v>
      </c>
      <c r="B169" s="48" t="s">
        <v>676</v>
      </c>
      <c r="C169" s="49" t="s">
        <v>677</v>
      </c>
      <c r="D169" s="50">
        <v>45425</v>
      </c>
      <c r="E169" s="49" t="s">
        <v>206</v>
      </c>
      <c r="F169" s="49" t="s">
        <v>72</v>
      </c>
      <c r="G169" s="49" t="s">
        <v>122</v>
      </c>
      <c r="H169" s="49" t="s">
        <v>57</v>
      </c>
      <c r="I169" s="49" t="s">
        <v>481</v>
      </c>
      <c r="J169" s="49" t="s">
        <v>72</v>
      </c>
      <c r="K169" s="49" t="s">
        <v>57</v>
      </c>
      <c r="L169" s="49"/>
      <c r="M169" s="50"/>
      <c r="N169" s="49"/>
      <c r="O169" s="49"/>
      <c r="P169" s="50"/>
      <c r="Q169" s="52"/>
      <c r="R169" s="36"/>
      <c r="S169" s="47" t="s">
        <v>149</v>
      </c>
      <c r="T169" s="246">
        <v>1</v>
      </c>
      <c r="V169" s="47" t="s">
        <v>150</v>
      </c>
      <c r="W169" s="47" t="str">
        <f t="shared" si="2"/>
        <v/>
      </c>
      <c r="X169" s="47" t="s">
        <v>349</v>
      </c>
      <c r="Y169" s="47" t="s">
        <v>1833</v>
      </c>
      <c r="Z169" s="277"/>
    </row>
    <row r="170" spans="1:26" s="47" customFormat="1" ht="12" x14ac:dyDescent="0.2">
      <c r="A170" s="264">
        <v>688</v>
      </c>
      <c r="B170" s="53" t="s">
        <v>678</v>
      </c>
      <c r="C170" s="49" t="s">
        <v>679</v>
      </c>
      <c r="D170" s="50">
        <v>45425</v>
      </c>
      <c r="E170" s="49" t="s">
        <v>181</v>
      </c>
      <c r="F170" s="49" t="s">
        <v>70</v>
      </c>
      <c r="G170" s="49" t="s">
        <v>120</v>
      </c>
      <c r="H170" s="49" t="s">
        <v>59</v>
      </c>
      <c r="I170" s="49" t="s">
        <v>546</v>
      </c>
      <c r="J170" s="49" t="s">
        <v>268</v>
      </c>
      <c r="K170" s="49" t="s">
        <v>59</v>
      </c>
      <c r="L170" s="49"/>
      <c r="M170" s="50"/>
      <c r="N170" s="49"/>
      <c r="O170" s="49"/>
      <c r="P170" s="50"/>
      <c r="Q170" s="52"/>
      <c r="R170" s="36"/>
      <c r="S170" s="47" t="s">
        <v>149</v>
      </c>
      <c r="T170" s="246">
        <v>1</v>
      </c>
      <c r="V170" s="47" t="s">
        <v>150</v>
      </c>
      <c r="W170" s="47" t="str">
        <f t="shared" si="2"/>
        <v/>
      </c>
      <c r="X170" s="47" t="s">
        <v>349</v>
      </c>
      <c r="Y170" s="47" t="s">
        <v>349</v>
      </c>
      <c r="Z170" s="277">
        <v>45901</v>
      </c>
    </row>
    <row r="171" spans="1:26" s="47" customFormat="1" ht="12" x14ac:dyDescent="0.2">
      <c r="A171" s="264">
        <v>687</v>
      </c>
      <c r="B171" s="48" t="s">
        <v>680</v>
      </c>
      <c r="C171" s="49" t="s">
        <v>300</v>
      </c>
      <c r="D171" s="50">
        <v>45439</v>
      </c>
      <c r="E171" s="49" t="s">
        <v>681</v>
      </c>
      <c r="F171" s="49" t="s">
        <v>70</v>
      </c>
      <c r="G171" s="49" t="s">
        <v>120</v>
      </c>
      <c r="H171" s="49" t="s">
        <v>59</v>
      </c>
      <c r="I171" s="49" t="s">
        <v>194</v>
      </c>
      <c r="J171" s="49" t="s">
        <v>297</v>
      </c>
      <c r="K171" s="49" t="s">
        <v>59</v>
      </c>
      <c r="L171" s="49"/>
      <c r="M171" s="50"/>
      <c r="N171" s="49"/>
      <c r="O171" s="49"/>
      <c r="P171" s="50"/>
      <c r="Q171" s="52" t="s">
        <v>1814</v>
      </c>
      <c r="R171" s="36"/>
      <c r="S171" s="47" t="s">
        <v>149</v>
      </c>
      <c r="T171" s="246">
        <v>1</v>
      </c>
      <c r="V171" s="47" t="s">
        <v>150</v>
      </c>
      <c r="W171" s="47" t="str">
        <f t="shared" si="2"/>
        <v/>
      </c>
      <c r="X171" s="47" t="s">
        <v>349</v>
      </c>
      <c r="Y171" s="47" t="s">
        <v>349</v>
      </c>
      <c r="Z171" s="277">
        <v>45901</v>
      </c>
    </row>
    <row r="172" spans="1:26" s="47" customFormat="1" ht="12" x14ac:dyDescent="0.2">
      <c r="A172" s="264">
        <v>686</v>
      </c>
      <c r="B172" s="48" t="s">
        <v>682</v>
      </c>
      <c r="C172" s="60" t="s">
        <v>683</v>
      </c>
      <c r="D172" s="50">
        <v>45439</v>
      </c>
      <c r="E172" s="49" t="s">
        <v>169</v>
      </c>
      <c r="F172" s="49" t="s">
        <v>70</v>
      </c>
      <c r="G172" s="49" t="s">
        <v>120</v>
      </c>
      <c r="H172" s="49" t="s">
        <v>59</v>
      </c>
      <c r="I172" s="49" t="s">
        <v>309</v>
      </c>
      <c r="J172" s="49" t="s">
        <v>297</v>
      </c>
      <c r="K172" s="49" t="s">
        <v>59</v>
      </c>
      <c r="L172" s="49"/>
      <c r="M172" s="50"/>
      <c r="N172" s="49"/>
      <c r="O172" s="49"/>
      <c r="P172" s="50"/>
      <c r="Q172" s="52" t="s">
        <v>684</v>
      </c>
      <c r="R172" s="36"/>
      <c r="S172" s="47" t="s">
        <v>149</v>
      </c>
      <c r="T172" s="246">
        <v>1</v>
      </c>
      <c r="V172" s="47" t="s">
        <v>195</v>
      </c>
      <c r="W172" s="47" t="str">
        <f t="shared" si="2"/>
        <v/>
      </c>
      <c r="X172" s="47" t="s">
        <v>349</v>
      </c>
      <c r="Y172" s="47" t="s">
        <v>349</v>
      </c>
      <c r="Z172" s="277">
        <v>45901</v>
      </c>
    </row>
    <row r="173" spans="1:26" s="47" customFormat="1" ht="12" x14ac:dyDescent="0.2">
      <c r="A173" s="264">
        <v>689</v>
      </c>
      <c r="B173" s="48" t="s">
        <v>685</v>
      </c>
      <c r="C173" s="49" t="s">
        <v>686</v>
      </c>
      <c r="D173" s="50">
        <v>45460</v>
      </c>
      <c r="E173" s="49" t="s">
        <v>206</v>
      </c>
      <c r="F173" s="49" t="s">
        <v>70</v>
      </c>
      <c r="G173" s="49" t="s">
        <v>122</v>
      </c>
      <c r="H173" s="49" t="s">
        <v>57</v>
      </c>
      <c r="I173" s="49" t="s">
        <v>263</v>
      </c>
      <c r="J173" s="49" t="s">
        <v>72</v>
      </c>
      <c r="K173" s="49"/>
      <c r="L173" s="49" t="s">
        <v>57</v>
      </c>
      <c r="M173" s="50">
        <v>45635</v>
      </c>
      <c r="N173" s="49"/>
      <c r="O173" s="49" t="s">
        <v>72</v>
      </c>
      <c r="P173" s="50"/>
      <c r="Q173" s="176"/>
      <c r="R173" s="36"/>
      <c r="S173" s="47" t="s">
        <v>149</v>
      </c>
      <c r="T173" s="246">
        <v>1</v>
      </c>
      <c r="V173" s="47" t="s">
        <v>195</v>
      </c>
      <c r="W173" s="47" t="str">
        <f t="shared" si="2"/>
        <v/>
      </c>
      <c r="X173" s="47" t="s">
        <v>349</v>
      </c>
      <c r="Y173" s="47" t="s">
        <v>1833</v>
      </c>
      <c r="Z173" s="277"/>
    </row>
    <row r="174" spans="1:26" s="47" customFormat="1" ht="12" x14ac:dyDescent="0.2">
      <c r="A174" s="264">
        <v>690</v>
      </c>
      <c r="B174" s="48" t="s">
        <v>687</v>
      </c>
      <c r="C174" s="49" t="s">
        <v>688</v>
      </c>
      <c r="D174" s="50">
        <v>45474</v>
      </c>
      <c r="E174" s="49" t="s">
        <v>594</v>
      </c>
      <c r="F174" s="49" t="s">
        <v>70</v>
      </c>
      <c r="G174" s="49" t="s">
        <v>118</v>
      </c>
      <c r="H174" s="49" t="s">
        <v>59</v>
      </c>
      <c r="I174" s="49" t="s">
        <v>194</v>
      </c>
      <c r="J174" s="49" t="s">
        <v>297</v>
      </c>
      <c r="K174" s="49"/>
      <c r="L174" s="49"/>
      <c r="M174" s="50"/>
      <c r="N174" s="49"/>
      <c r="O174" s="49"/>
      <c r="P174" s="50"/>
      <c r="Q174" s="52"/>
      <c r="R174" s="36"/>
      <c r="S174" s="47" t="s">
        <v>149</v>
      </c>
      <c r="T174" s="246">
        <v>1</v>
      </c>
      <c r="V174" s="47" t="s">
        <v>195</v>
      </c>
      <c r="W174" s="47" t="str">
        <f t="shared" si="2"/>
        <v/>
      </c>
      <c r="X174" s="47" t="s">
        <v>349</v>
      </c>
      <c r="Y174" s="47" t="s">
        <v>349</v>
      </c>
      <c r="Z174" s="277">
        <v>45901</v>
      </c>
    </row>
    <row r="175" spans="1:26" s="47" customFormat="1" ht="12" x14ac:dyDescent="0.2">
      <c r="A175" s="264">
        <v>691</v>
      </c>
      <c r="B175" s="48" t="s">
        <v>689</v>
      </c>
      <c r="C175" s="49" t="s">
        <v>690</v>
      </c>
      <c r="D175" s="50">
        <v>45474</v>
      </c>
      <c r="E175" s="49" t="s">
        <v>691</v>
      </c>
      <c r="F175" s="49" t="s">
        <v>70</v>
      </c>
      <c r="G175" s="49" t="s">
        <v>120</v>
      </c>
      <c r="H175" s="49" t="s">
        <v>59</v>
      </c>
      <c r="I175" s="49" t="s">
        <v>194</v>
      </c>
      <c r="J175" s="49" t="s">
        <v>268</v>
      </c>
      <c r="K175" s="49"/>
      <c r="L175" s="49"/>
      <c r="M175" s="50"/>
      <c r="N175" s="49"/>
      <c r="O175" s="49"/>
      <c r="P175" s="50"/>
      <c r="Q175" s="52"/>
      <c r="R175" s="36"/>
      <c r="S175" s="47" t="s">
        <v>149</v>
      </c>
      <c r="T175" s="246">
        <v>1</v>
      </c>
      <c r="V175" s="47" t="s">
        <v>150</v>
      </c>
      <c r="W175" s="47" t="str">
        <f t="shared" si="2"/>
        <v/>
      </c>
      <c r="X175" s="47" t="s">
        <v>1833</v>
      </c>
      <c r="Y175" s="47" t="s">
        <v>1833</v>
      </c>
      <c r="Z175" s="277">
        <v>45901</v>
      </c>
    </row>
    <row r="176" spans="1:26" s="47" customFormat="1" ht="12" x14ac:dyDescent="0.2">
      <c r="A176" s="264">
        <v>692</v>
      </c>
      <c r="B176" s="48" t="s">
        <v>692</v>
      </c>
      <c r="C176" s="49" t="s">
        <v>693</v>
      </c>
      <c r="D176" s="50">
        <v>45474</v>
      </c>
      <c r="E176" s="49" t="s">
        <v>694</v>
      </c>
      <c r="F176" s="49" t="s">
        <v>70</v>
      </c>
      <c r="G176" s="49" t="s">
        <v>121</v>
      </c>
      <c r="H176" s="49" t="s">
        <v>61</v>
      </c>
      <c r="I176" s="49" t="s">
        <v>267</v>
      </c>
      <c r="J176" s="49" t="s">
        <v>302</v>
      </c>
      <c r="K176" s="49"/>
      <c r="L176" s="49"/>
      <c r="M176" s="50"/>
      <c r="N176" s="49"/>
      <c r="O176" s="49"/>
      <c r="P176" s="50"/>
      <c r="Q176" s="52"/>
      <c r="R176" s="36"/>
      <c r="S176" s="47" t="s">
        <v>149</v>
      </c>
      <c r="T176" s="246">
        <v>1</v>
      </c>
      <c r="V176" s="47" t="s">
        <v>150</v>
      </c>
      <c r="W176" s="47" t="str">
        <f t="shared" si="2"/>
        <v/>
      </c>
      <c r="X176" s="47" t="s">
        <v>1833</v>
      </c>
      <c r="Y176" s="47" t="s">
        <v>1833</v>
      </c>
      <c r="Z176" s="277">
        <v>45901</v>
      </c>
    </row>
    <row r="177" spans="1:26" s="47" customFormat="1" ht="12" x14ac:dyDescent="0.2">
      <c r="A177" s="264">
        <v>693</v>
      </c>
      <c r="B177" s="48" t="s">
        <v>695</v>
      </c>
      <c r="C177" s="49" t="s">
        <v>696</v>
      </c>
      <c r="D177" s="50">
        <v>45481</v>
      </c>
      <c r="E177" s="49" t="s">
        <v>169</v>
      </c>
      <c r="F177" s="49" t="s">
        <v>70</v>
      </c>
      <c r="G177" s="49" t="s">
        <v>120</v>
      </c>
      <c r="H177" s="49" t="s">
        <v>57</v>
      </c>
      <c r="I177" s="49" t="s">
        <v>162</v>
      </c>
      <c r="J177" s="49" t="s">
        <v>163</v>
      </c>
      <c r="K177" s="49"/>
      <c r="L177" s="49"/>
      <c r="M177" s="50"/>
      <c r="N177" s="49"/>
      <c r="O177" s="49"/>
      <c r="P177" s="50"/>
      <c r="Q177" s="52"/>
      <c r="R177" s="36"/>
      <c r="S177" s="47" t="s">
        <v>149</v>
      </c>
      <c r="T177" s="246">
        <v>1</v>
      </c>
      <c r="V177" s="47" t="s">
        <v>150</v>
      </c>
      <c r="W177" s="47" t="str">
        <f t="shared" si="2"/>
        <v/>
      </c>
      <c r="X177" s="47" t="s">
        <v>349</v>
      </c>
      <c r="Y177" s="47" t="s">
        <v>1833</v>
      </c>
      <c r="Z177" s="277"/>
    </row>
    <row r="178" spans="1:26" s="47" customFormat="1" ht="12" x14ac:dyDescent="0.2">
      <c r="A178" s="264">
        <v>695</v>
      </c>
      <c r="B178" s="48" t="s">
        <v>697</v>
      </c>
      <c r="C178" s="49" t="s">
        <v>698</v>
      </c>
      <c r="D178" s="50">
        <v>45483</v>
      </c>
      <c r="E178" s="49" t="s">
        <v>588</v>
      </c>
      <c r="F178" s="49" t="s">
        <v>70</v>
      </c>
      <c r="G178" s="49" t="s">
        <v>388</v>
      </c>
      <c r="H178" s="49" t="s">
        <v>46</v>
      </c>
      <c r="I178" s="49" t="s">
        <v>387</v>
      </c>
      <c r="J178" s="49" t="s">
        <v>388</v>
      </c>
      <c r="K178" s="49"/>
      <c r="L178" s="49"/>
      <c r="M178" s="50"/>
      <c r="N178" s="49"/>
      <c r="O178" s="49"/>
      <c r="P178" s="50"/>
      <c r="Q178" s="52"/>
      <c r="R178" s="36"/>
      <c r="S178" s="47" t="s">
        <v>149</v>
      </c>
      <c r="T178" s="246">
        <v>1</v>
      </c>
      <c r="V178" s="47" t="s">
        <v>150</v>
      </c>
      <c r="W178" s="47" t="str">
        <f t="shared" si="2"/>
        <v/>
      </c>
      <c r="X178" s="47" t="s">
        <v>349</v>
      </c>
      <c r="Y178" s="47" t="s">
        <v>349</v>
      </c>
      <c r="Z178" s="277">
        <v>45992</v>
      </c>
    </row>
    <row r="179" spans="1:26" s="47" customFormat="1" ht="12" x14ac:dyDescent="0.2">
      <c r="A179" s="264">
        <v>696</v>
      </c>
      <c r="B179" s="48" t="s">
        <v>699</v>
      </c>
      <c r="C179" s="49" t="s">
        <v>700</v>
      </c>
      <c r="D179" s="50">
        <v>45488</v>
      </c>
      <c r="E179" s="49" t="s">
        <v>206</v>
      </c>
      <c r="F179" s="49" t="s">
        <v>70</v>
      </c>
      <c r="G179" s="49" t="s">
        <v>122</v>
      </c>
      <c r="H179" s="49" t="s">
        <v>59</v>
      </c>
      <c r="I179" s="49" t="s">
        <v>400</v>
      </c>
      <c r="J179" s="49" t="s">
        <v>268</v>
      </c>
      <c r="K179" s="49"/>
      <c r="L179" s="49"/>
      <c r="M179" s="50"/>
      <c r="N179" s="49"/>
      <c r="O179" s="49"/>
      <c r="P179" s="50"/>
      <c r="Q179" s="52" t="s">
        <v>701</v>
      </c>
      <c r="R179" s="36"/>
      <c r="S179" s="47" t="s">
        <v>149</v>
      </c>
      <c r="T179" s="246">
        <v>0.65</v>
      </c>
      <c r="V179" s="47" t="s">
        <v>195</v>
      </c>
      <c r="W179" s="47" t="str">
        <f t="shared" si="2"/>
        <v/>
      </c>
      <c r="X179" s="47" t="s">
        <v>349</v>
      </c>
      <c r="Y179" s="47" t="s">
        <v>349</v>
      </c>
      <c r="Z179" s="277">
        <v>45901</v>
      </c>
    </row>
    <row r="180" spans="1:26" s="47" customFormat="1" ht="12" x14ac:dyDescent="0.2">
      <c r="A180" s="264">
        <v>694</v>
      </c>
      <c r="B180" s="62" t="s">
        <v>702</v>
      </c>
      <c r="C180" s="63" t="s">
        <v>703</v>
      </c>
      <c r="D180" s="50">
        <v>45502</v>
      </c>
      <c r="E180" s="49" t="s">
        <v>169</v>
      </c>
      <c r="F180" s="49" t="s">
        <v>70</v>
      </c>
      <c r="G180" s="49" t="s">
        <v>120</v>
      </c>
      <c r="H180" s="49" t="s">
        <v>46</v>
      </c>
      <c r="I180" s="63" t="s">
        <v>170</v>
      </c>
      <c r="J180" s="63" t="s">
        <v>158</v>
      </c>
      <c r="K180" s="63"/>
      <c r="L180" s="63"/>
      <c r="M180" s="64"/>
      <c r="N180" s="63"/>
      <c r="O180" s="63"/>
      <c r="P180" s="64"/>
      <c r="Q180" s="66"/>
      <c r="R180" s="36"/>
      <c r="S180" s="47" t="s">
        <v>149</v>
      </c>
      <c r="T180" s="246">
        <v>1</v>
      </c>
      <c r="V180" s="47" t="s">
        <v>150</v>
      </c>
      <c r="W180" s="47" t="str">
        <f t="shared" si="2"/>
        <v/>
      </c>
      <c r="X180" s="47" t="s">
        <v>349</v>
      </c>
      <c r="Y180" s="47" t="s">
        <v>349</v>
      </c>
      <c r="Z180" s="277">
        <v>45992</v>
      </c>
    </row>
    <row r="181" spans="1:26" s="47" customFormat="1" ht="12" x14ac:dyDescent="0.2">
      <c r="A181" s="264">
        <v>699</v>
      </c>
      <c r="B181" s="48" t="s">
        <v>704</v>
      </c>
      <c r="C181" s="49" t="s">
        <v>705</v>
      </c>
      <c r="D181" s="50">
        <v>45502</v>
      </c>
      <c r="E181" s="49" t="s">
        <v>206</v>
      </c>
      <c r="F181" s="49" t="s">
        <v>70</v>
      </c>
      <c r="G181" s="49" t="s">
        <v>122</v>
      </c>
      <c r="H181" s="49" t="s">
        <v>46</v>
      </c>
      <c r="I181" s="49" t="s">
        <v>207</v>
      </c>
      <c r="J181" s="49" t="s">
        <v>158</v>
      </c>
      <c r="K181" s="49"/>
      <c r="L181" s="49"/>
      <c r="M181" s="50"/>
      <c r="N181" s="49"/>
      <c r="O181" s="49"/>
      <c r="P181" s="50"/>
      <c r="Q181" s="52"/>
      <c r="R181" s="36"/>
      <c r="S181" s="47" t="s">
        <v>149</v>
      </c>
      <c r="T181" s="246">
        <v>1</v>
      </c>
      <c r="V181" s="47" t="s">
        <v>195</v>
      </c>
      <c r="W181" s="47" t="str">
        <f t="shared" si="2"/>
        <v/>
      </c>
      <c r="X181" s="47" t="s">
        <v>349</v>
      </c>
      <c r="Y181" s="47" t="s">
        <v>349</v>
      </c>
      <c r="Z181" s="277">
        <v>45992</v>
      </c>
    </row>
    <row r="182" spans="1:26" s="47" customFormat="1" ht="12" hidden="1" x14ac:dyDescent="0.2">
      <c r="A182" s="264">
        <v>701</v>
      </c>
      <c r="B182" s="48" t="s">
        <v>706</v>
      </c>
      <c r="C182" s="49" t="s">
        <v>707</v>
      </c>
      <c r="D182" s="50">
        <v>45509</v>
      </c>
      <c r="E182" s="49" t="s">
        <v>708</v>
      </c>
      <c r="F182" s="49" t="s">
        <v>70</v>
      </c>
      <c r="G182" s="49" t="s">
        <v>292</v>
      </c>
      <c r="H182" s="49" t="s">
        <v>46</v>
      </c>
      <c r="I182" s="49" t="s">
        <v>293</v>
      </c>
      <c r="J182" s="49"/>
      <c r="K182" s="49"/>
      <c r="L182" s="49"/>
      <c r="M182" s="50"/>
      <c r="N182" s="49"/>
      <c r="O182" s="49"/>
      <c r="P182" s="50"/>
      <c r="Q182" s="52" t="s">
        <v>709</v>
      </c>
      <c r="R182" s="138">
        <v>45588</v>
      </c>
      <c r="T182" s="246">
        <v>1</v>
      </c>
      <c r="V182" s="47" t="s">
        <v>150</v>
      </c>
      <c r="W182" s="47" t="str">
        <f t="shared" si="2"/>
        <v/>
      </c>
      <c r="X182" s="47" t="s">
        <v>349</v>
      </c>
      <c r="Y182" s="47" t="s">
        <v>1833</v>
      </c>
      <c r="Z182" s="277"/>
    </row>
    <row r="183" spans="1:26" s="47" customFormat="1" ht="12" x14ac:dyDescent="0.2">
      <c r="A183" s="264">
        <v>702</v>
      </c>
      <c r="B183" s="48" t="s">
        <v>710</v>
      </c>
      <c r="C183" s="49" t="s">
        <v>711</v>
      </c>
      <c r="D183" s="50">
        <v>45509</v>
      </c>
      <c r="E183" s="49" t="s">
        <v>372</v>
      </c>
      <c r="F183" s="49" t="s">
        <v>70</v>
      </c>
      <c r="G183" s="49" t="s">
        <v>120</v>
      </c>
      <c r="H183" s="49" t="s">
        <v>61</v>
      </c>
      <c r="I183" s="49" t="s">
        <v>314</v>
      </c>
      <c r="J183" s="49" t="s">
        <v>343</v>
      </c>
      <c r="K183" s="49"/>
      <c r="L183" s="49"/>
      <c r="M183" s="50"/>
      <c r="N183" s="49"/>
      <c r="O183" s="49"/>
      <c r="P183" s="50"/>
      <c r="Q183" s="52"/>
      <c r="R183" s="36"/>
      <c r="S183" s="47" t="s">
        <v>149</v>
      </c>
      <c r="T183" s="246">
        <v>1</v>
      </c>
      <c r="V183" s="47" t="s">
        <v>150</v>
      </c>
      <c r="W183" s="47" t="str">
        <f t="shared" si="2"/>
        <v/>
      </c>
      <c r="X183" s="47" t="s">
        <v>349</v>
      </c>
      <c r="Y183" s="47" t="s">
        <v>1833</v>
      </c>
      <c r="Z183" s="277"/>
    </row>
    <row r="184" spans="1:26" s="47" customFormat="1" ht="12" x14ac:dyDescent="0.2">
      <c r="A184" s="264">
        <v>697</v>
      </c>
      <c r="B184" s="48" t="s">
        <v>712</v>
      </c>
      <c r="C184" s="49" t="s">
        <v>713</v>
      </c>
      <c r="D184" s="50">
        <v>45516</v>
      </c>
      <c r="E184" s="49" t="s">
        <v>206</v>
      </c>
      <c r="F184" s="49" t="s">
        <v>70</v>
      </c>
      <c r="G184" s="49" t="s">
        <v>122</v>
      </c>
      <c r="H184" s="49" t="s">
        <v>61</v>
      </c>
      <c r="I184" s="49" t="s">
        <v>400</v>
      </c>
      <c r="J184" s="49" t="s">
        <v>380</v>
      </c>
      <c r="K184" s="49"/>
      <c r="L184" s="49"/>
      <c r="M184" s="50"/>
      <c r="N184" s="49"/>
      <c r="O184" s="49"/>
      <c r="P184" s="50"/>
      <c r="Q184" s="52"/>
      <c r="R184" s="138">
        <v>45793</v>
      </c>
      <c r="S184" s="47" t="s">
        <v>149</v>
      </c>
      <c r="T184" s="246">
        <v>1</v>
      </c>
      <c r="V184" s="47" t="s">
        <v>150</v>
      </c>
      <c r="W184" s="47" t="str">
        <f t="shared" si="2"/>
        <v/>
      </c>
      <c r="X184" s="47" t="s">
        <v>349</v>
      </c>
      <c r="Y184" s="47" t="s">
        <v>1833</v>
      </c>
      <c r="Z184" s="277"/>
    </row>
    <row r="185" spans="1:26" s="47" customFormat="1" ht="13.15" customHeight="1" x14ac:dyDescent="0.2">
      <c r="A185" s="264">
        <v>698</v>
      </c>
      <c r="B185" s="48" t="s">
        <v>534</v>
      </c>
      <c r="C185" s="49" t="s">
        <v>714</v>
      </c>
      <c r="D185" s="50">
        <v>45530</v>
      </c>
      <c r="E185" s="49" t="s">
        <v>206</v>
      </c>
      <c r="F185" s="49" t="s">
        <v>70</v>
      </c>
      <c r="G185" s="49" t="s">
        <v>122</v>
      </c>
      <c r="H185" s="49" t="s">
        <v>57</v>
      </c>
      <c r="I185" s="49" t="s">
        <v>162</v>
      </c>
      <c r="J185" s="49" t="s">
        <v>72</v>
      </c>
      <c r="K185" s="49"/>
      <c r="L185" s="49"/>
      <c r="M185" s="50"/>
      <c r="N185" s="49"/>
      <c r="O185" s="49"/>
      <c r="P185" s="50"/>
      <c r="Q185" s="52"/>
      <c r="R185" s="138">
        <v>45818</v>
      </c>
      <c r="S185" s="47" t="s">
        <v>149</v>
      </c>
      <c r="T185" s="246">
        <v>1</v>
      </c>
      <c r="V185" s="47" t="s">
        <v>150</v>
      </c>
      <c r="W185" s="47" t="str">
        <f t="shared" si="2"/>
        <v/>
      </c>
      <c r="X185" s="47" t="s">
        <v>349</v>
      </c>
      <c r="Y185" s="47" t="s">
        <v>1833</v>
      </c>
      <c r="Z185" s="277"/>
    </row>
    <row r="186" spans="1:26" s="47" customFormat="1" ht="12" x14ac:dyDescent="0.2">
      <c r="A186" s="264">
        <v>705</v>
      </c>
      <c r="B186" s="48" t="s">
        <v>715</v>
      </c>
      <c r="C186" s="49" t="s">
        <v>716</v>
      </c>
      <c r="D186" s="50">
        <v>45530</v>
      </c>
      <c r="E186" s="49" t="s">
        <v>169</v>
      </c>
      <c r="F186" s="49" t="s">
        <v>70</v>
      </c>
      <c r="G186" s="49" t="s">
        <v>120</v>
      </c>
      <c r="H186" s="49" t="s">
        <v>61</v>
      </c>
      <c r="I186" s="49" t="s">
        <v>314</v>
      </c>
      <c r="J186" s="49" t="s">
        <v>175</v>
      </c>
      <c r="K186" s="49"/>
      <c r="L186" s="49"/>
      <c r="M186" s="50"/>
      <c r="N186" s="49"/>
      <c r="O186" s="49"/>
      <c r="P186" s="50"/>
      <c r="Q186" s="52"/>
      <c r="R186" s="36"/>
      <c r="S186" s="47" t="s">
        <v>149</v>
      </c>
      <c r="T186" s="246">
        <v>1</v>
      </c>
      <c r="V186" s="47" t="s">
        <v>150</v>
      </c>
      <c r="W186" s="47" t="str">
        <f t="shared" si="2"/>
        <v/>
      </c>
      <c r="X186" s="47" t="s">
        <v>349</v>
      </c>
      <c r="Y186" s="47" t="s">
        <v>1833</v>
      </c>
      <c r="Z186" s="277"/>
    </row>
    <row r="187" spans="1:26" s="47" customFormat="1" ht="12" x14ac:dyDescent="0.2">
      <c r="A187" s="264">
        <v>704</v>
      </c>
      <c r="B187" s="48" t="s">
        <v>717</v>
      </c>
      <c r="C187" s="49" t="s">
        <v>718</v>
      </c>
      <c r="D187" s="50">
        <v>45537</v>
      </c>
      <c r="E187" s="49" t="s">
        <v>372</v>
      </c>
      <c r="F187" s="49" t="s">
        <v>72</v>
      </c>
      <c r="G187" s="49" t="s">
        <v>120</v>
      </c>
      <c r="H187" s="49" t="s">
        <v>57</v>
      </c>
      <c r="I187" s="49" t="s">
        <v>481</v>
      </c>
      <c r="J187" s="49" t="s">
        <v>72</v>
      </c>
      <c r="K187" s="49"/>
      <c r="L187" s="49"/>
      <c r="M187" s="50"/>
      <c r="N187" s="49"/>
      <c r="O187" s="49"/>
      <c r="P187" s="50"/>
      <c r="Q187" s="52"/>
      <c r="R187" s="36"/>
      <c r="S187" s="47" t="s">
        <v>149</v>
      </c>
      <c r="T187" s="246">
        <v>1</v>
      </c>
      <c r="V187" s="47" t="s">
        <v>150</v>
      </c>
      <c r="W187" s="47" t="str">
        <f t="shared" si="2"/>
        <v/>
      </c>
      <c r="X187" s="47" t="s">
        <v>349</v>
      </c>
      <c r="Y187" s="47" t="s">
        <v>1833</v>
      </c>
      <c r="Z187" s="277"/>
    </row>
    <row r="188" spans="1:26" x14ac:dyDescent="0.2">
      <c r="A188" s="264">
        <v>706</v>
      </c>
      <c r="B188" s="48" t="s">
        <v>719</v>
      </c>
      <c r="C188" s="49" t="s">
        <v>720</v>
      </c>
      <c r="D188" s="50">
        <v>45537</v>
      </c>
      <c r="E188" s="49" t="s">
        <v>361</v>
      </c>
      <c r="F188" s="49" t="s">
        <v>70</v>
      </c>
      <c r="G188" s="49" t="s">
        <v>122</v>
      </c>
      <c r="H188" s="49" t="s">
        <v>59</v>
      </c>
      <c r="I188" s="49" t="s">
        <v>400</v>
      </c>
      <c r="J188" s="49" t="s">
        <v>268</v>
      </c>
      <c r="K188" s="49"/>
      <c r="L188" s="49"/>
      <c r="M188" s="50"/>
      <c r="N188" s="49"/>
      <c r="O188" s="49"/>
      <c r="P188" s="50"/>
      <c r="Q188" s="52"/>
      <c r="R188" s="36"/>
      <c r="S188" s="47" t="s">
        <v>213</v>
      </c>
      <c r="T188" s="246">
        <v>0.8</v>
      </c>
      <c r="U188" s="47"/>
      <c r="V188" s="47" t="s">
        <v>195</v>
      </c>
      <c r="W188" s="47" t="str">
        <f t="shared" si="2"/>
        <v/>
      </c>
      <c r="X188" s="47" t="s">
        <v>349</v>
      </c>
      <c r="Y188" s="47" t="s">
        <v>349</v>
      </c>
      <c r="Z188" s="277">
        <v>45901</v>
      </c>
    </row>
    <row r="189" spans="1:26" s="47" customFormat="1" ht="12" x14ac:dyDescent="0.2">
      <c r="A189" s="264">
        <v>707</v>
      </c>
      <c r="B189" s="48" t="s">
        <v>721</v>
      </c>
      <c r="C189" s="49" t="s">
        <v>722</v>
      </c>
      <c r="D189" s="50">
        <v>45537</v>
      </c>
      <c r="E189" s="49" t="s">
        <v>169</v>
      </c>
      <c r="F189" s="49" t="s">
        <v>70</v>
      </c>
      <c r="G189" s="49" t="s">
        <v>120</v>
      </c>
      <c r="H189" s="49" t="s">
        <v>61</v>
      </c>
      <c r="I189" s="49" t="s">
        <v>314</v>
      </c>
      <c r="J189" s="49" t="s">
        <v>343</v>
      </c>
      <c r="K189" s="49"/>
      <c r="L189" s="49"/>
      <c r="M189" s="50"/>
      <c r="N189" s="49"/>
      <c r="O189" s="49"/>
      <c r="P189" s="50"/>
      <c r="Q189" s="52"/>
      <c r="R189" s="52"/>
      <c r="S189" s="47" t="s">
        <v>149</v>
      </c>
      <c r="T189" s="246">
        <v>1</v>
      </c>
      <c r="V189" s="47" t="s">
        <v>150</v>
      </c>
      <c r="W189" s="47" t="str">
        <f t="shared" si="2"/>
        <v/>
      </c>
      <c r="X189" s="47" t="s">
        <v>349</v>
      </c>
      <c r="Y189" s="47" t="s">
        <v>1833</v>
      </c>
      <c r="Z189" s="277"/>
    </row>
    <row r="190" spans="1:26" s="47" customFormat="1" ht="12" hidden="1" x14ac:dyDescent="0.2">
      <c r="A190" s="264">
        <v>709</v>
      </c>
      <c r="B190" s="48" t="s">
        <v>723</v>
      </c>
      <c r="C190" s="49" t="s">
        <v>560</v>
      </c>
      <c r="D190" s="50">
        <v>45546</v>
      </c>
      <c r="E190" s="49" t="s">
        <v>724</v>
      </c>
      <c r="F190" s="49" t="s">
        <v>70</v>
      </c>
      <c r="G190" s="49" t="s">
        <v>106</v>
      </c>
      <c r="H190" s="49" t="s">
        <v>46</v>
      </c>
      <c r="I190" s="49" t="s">
        <v>606</v>
      </c>
      <c r="J190" s="49"/>
      <c r="K190" s="49"/>
      <c r="L190" s="49"/>
      <c r="M190" s="50"/>
      <c r="N190" s="49"/>
      <c r="O190" s="49"/>
      <c r="P190" s="50"/>
      <c r="Q190" s="52" t="s">
        <v>725</v>
      </c>
      <c r="R190" s="138">
        <v>45576</v>
      </c>
      <c r="T190" s="246">
        <v>1</v>
      </c>
      <c r="U190" s="47" t="s">
        <v>349</v>
      </c>
      <c r="V190" s="47" t="s">
        <v>195</v>
      </c>
      <c r="W190" s="47" t="str">
        <f t="shared" si="2"/>
        <v/>
      </c>
      <c r="X190" s="47" t="s">
        <v>349</v>
      </c>
      <c r="Y190" s="47" t="s">
        <v>1833</v>
      </c>
      <c r="Z190" s="277"/>
    </row>
    <row r="191" spans="1:26" s="47" customFormat="1" ht="12" x14ac:dyDescent="0.2">
      <c r="A191" s="264">
        <v>713</v>
      </c>
      <c r="B191" s="48" t="s">
        <v>410</v>
      </c>
      <c r="C191" s="49" t="s">
        <v>726</v>
      </c>
      <c r="D191" s="50">
        <v>45553</v>
      </c>
      <c r="E191" s="49" t="s">
        <v>727</v>
      </c>
      <c r="F191" s="49" t="s">
        <v>70</v>
      </c>
      <c r="G191" s="49" t="s">
        <v>227</v>
      </c>
      <c r="H191" s="49" t="s">
        <v>56</v>
      </c>
      <c r="I191" s="49" t="s">
        <v>728</v>
      </c>
      <c r="J191" s="49" t="s">
        <v>222</v>
      </c>
      <c r="K191" s="49"/>
      <c r="L191" s="49"/>
      <c r="M191" s="50"/>
      <c r="N191" s="49"/>
      <c r="O191" s="49"/>
      <c r="P191" s="50"/>
      <c r="Q191" s="52" t="s">
        <v>729</v>
      </c>
      <c r="R191" s="138">
        <v>45751</v>
      </c>
      <c r="S191" s="47" t="s">
        <v>213</v>
      </c>
      <c r="T191" s="246">
        <v>1</v>
      </c>
      <c r="U191" s="47" t="s">
        <v>349</v>
      </c>
      <c r="V191" s="47" t="s">
        <v>195</v>
      </c>
      <c r="W191" s="47" t="str">
        <f t="shared" si="2"/>
        <v/>
      </c>
      <c r="X191" s="47" t="s">
        <v>349</v>
      </c>
      <c r="Y191" s="47" t="s">
        <v>1833</v>
      </c>
      <c r="Z191" s="277"/>
    </row>
    <row r="192" spans="1:26" s="47" customFormat="1" ht="12" x14ac:dyDescent="0.2">
      <c r="A192" s="264">
        <v>708</v>
      </c>
      <c r="B192" s="48" t="s">
        <v>730</v>
      </c>
      <c r="C192" s="49" t="s">
        <v>731</v>
      </c>
      <c r="D192" s="50">
        <v>45558</v>
      </c>
      <c r="E192" s="49" t="s">
        <v>732</v>
      </c>
      <c r="F192" s="49" t="s">
        <v>70</v>
      </c>
      <c r="G192" s="49" t="s">
        <v>124</v>
      </c>
      <c r="H192" s="49" t="s">
        <v>57</v>
      </c>
      <c r="I192" s="49" t="s">
        <v>147</v>
      </c>
      <c r="J192" s="49" t="s">
        <v>72</v>
      </c>
      <c r="K192" s="49"/>
      <c r="L192" s="49"/>
      <c r="M192" s="50"/>
      <c r="N192" s="49"/>
      <c r="O192" s="49"/>
      <c r="P192" s="50"/>
      <c r="Q192" s="52"/>
      <c r="R192" s="36"/>
      <c r="S192" s="47" t="s">
        <v>149</v>
      </c>
      <c r="T192" s="246">
        <v>1</v>
      </c>
      <c r="V192" s="47" t="s">
        <v>150</v>
      </c>
      <c r="W192" s="47" t="str">
        <f t="shared" si="2"/>
        <v/>
      </c>
      <c r="X192" s="47" t="s">
        <v>1833</v>
      </c>
      <c r="Y192" s="47" t="s">
        <v>1833</v>
      </c>
      <c r="Z192" s="277">
        <v>45931</v>
      </c>
    </row>
    <row r="193" spans="1:26" s="47" customFormat="1" ht="12" x14ac:dyDescent="0.2">
      <c r="A193" s="264">
        <v>714</v>
      </c>
      <c r="B193" s="48" t="s">
        <v>733</v>
      </c>
      <c r="C193" s="49" t="s">
        <v>734</v>
      </c>
      <c r="D193" s="50">
        <v>45565</v>
      </c>
      <c r="E193" s="49" t="s">
        <v>464</v>
      </c>
      <c r="F193" s="49" t="s">
        <v>70</v>
      </c>
      <c r="G193" s="49" t="s">
        <v>124</v>
      </c>
      <c r="H193" s="49" t="s">
        <v>106</v>
      </c>
      <c r="I193" s="100" t="s">
        <v>283</v>
      </c>
      <c r="J193" s="49" t="s">
        <v>106</v>
      </c>
      <c r="K193" s="49"/>
      <c r="L193" s="49"/>
      <c r="M193" s="50"/>
      <c r="N193" s="49"/>
      <c r="O193" s="49"/>
      <c r="P193" s="50"/>
      <c r="Q193" s="52"/>
      <c r="R193" s="36"/>
      <c r="S193" s="47" t="s">
        <v>149</v>
      </c>
      <c r="T193" s="246">
        <v>1</v>
      </c>
      <c r="V193" s="47" t="s">
        <v>150</v>
      </c>
      <c r="W193" s="47" t="str">
        <f t="shared" si="2"/>
        <v/>
      </c>
      <c r="X193" s="47" t="s">
        <v>349</v>
      </c>
      <c r="Y193" s="47" t="s">
        <v>349</v>
      </c>
      <c r="Z193" s="277">
        <v>45992</v>
      </c>
    </row>
    <row r="194" spans="1:26" s="47" customFormat="1" ht="12" x14ac:dyDescent="0.2">
      <c r="A194" s="264">
        <v>715</v>
      </c>
      <c r="B194" s="48" t="s">
        <v>735</v>
      </c>
      <c r="C194" s="49" t="s">
        <v>736</v>
      </c>
      <c r="D194" s="50">
        <v>45572</v>
      </c>
      <c r="E194" s="49" t="s">
        <v>737</v>
      </c>
      <c r="F194" s="49" t="s">
        <v>70</v>
      </c>
      <c r="G194" s="49" t="s">
        <v>121</v>
      </c>
      <c r="H194" s="49" t="s">
        <v>106</v>
      </c>
      <c r="I194" s="100" t="s">
        <v>283</v>
      </c>
      <c r="J194" s="49" t="s">
        <v>284</v>
      </c>
      <c r="K194" s="49"/>
      <c r="L194" s="49"/>
      <c r="M194" s="50"/>
      <c r="N194" s="49"/>
      <c r="O194" s="49"/>
      <c r="P194" s="50"/>
      <c r="Q194" s="52"/>
      <c r="R194" s="36"/>
      <c r="S194" s="47" t="s">
        <v>149</v>
      </c>
      <c r="T194" s="246">
        <v>1</v>
      </c>
      <c r="V194" s="47" t="s">
        <v>150</v>
      </c>
      <c r="W194" s="47" t="str">
        <f t="shared" si="2"/>
        <v/>
      </c>
      <c r="X194" s="47" t="s">
        <v>349</v>
      </c>
      <c r="Y194" s="47" t="s">
        <v>349</v>
      </c>
      <c r="Z194" s="277">
        <v>45992</v>
      </c>
    </row>
    <row r="195" spans="1:26" s="47" customFormat="1" ht="12" x14ac:dyDescent="0.2">
      <c r="A195" s="265">
        <v>716</v>
      </c>
      <c r="B195" s="62" t="s">
        <v>738</v>
      </c>
      <c r="C195" s="63" t="s">
        <v>739</v>
      </c>
      <c r="D195" s="64">
        <v>45574</v>
      </c>
      <c r="E195" s="49" t="s">
        <v>464</v>
      </c>
      <c r="F195" s="63" t="s">
        <v>70</v>
      </c>
      <c r="G195" s="49" t="s">
        <v>124</v>
      </c>
      <c r="H195" s="49" t="s">
        <v>57</v>
      </c>
      <c r="I195" s="63" t="s">
        <v>238</v>
      </c>
      <c r="J195" s="63" t="s">
        <v>163</v>
      </c>
      <c r="K195" s="63"/>
      <c r="L195" s="63"/>
      <c r="M195" s="64"/>
      <c r="N195" s="63"/>
      <c r="O195" s="63"/>
      <c r="P195" s="64"/>
      <c r="Q195" s="66"/>
      <c r="R195" s="36"/>
      <c r="S195" s="47" t="s">
        <v>149</v>
      </c>
      <c r="T195" s="246">
        <v>1</v>
      </c>
      <c r="V195" s="47" t="s">
        <v>150</v>
      </c>
      <c r="W195" s="47" t="str">
        <f t="shared" si="2"/>
        <v/>
      </c>
      <c r="X195" s="47" t="s">
        <v>349</v>
      </c>
      <c r="Y195" s="47" t="s">
        <v>1833</v>
      </c>
      <c r="Z195" s="277"/>
    </row>
    <row r="196" spans="1:26" s="47" customFormat="1" ht="12" x14ac:dyDescent="0.2">
      <c r="A196" s="265">
        <v>717</v>
      </c>
      <c r="B196" s="62" t="s">
        <v>740</v>
      </c>
      <c r="C196" s="63" t="s">
        <v>741</v>
      </c>
      <c r="D196" s="64">
        <v>45579</v>
      </c>
      <c r="E196" s="49" t="s">
        <v>742</v>
      </c>
      <c r="F196" s="63" t="s">
        <v>70</v>
      </c>
      <c r="G196" s="63" t="s">
        <v>282</v>
      </c>
      <c r="H196" s="49" t="s">
        <v>106</v>
      </c>
      <c r="I196" s="63" t="s">
        <v>357</v>
      </c>
      <c r="J196" s="63" t="s">
        <v>284</v>
      </c>
      <c r="K196" s="63"/>
      <c r="L196" s="63"/>
      <c r="M196" s="64"/>
      <c r="N196" s="63"/>
      <c r="O196" s="63"/>
      <c r="P196" s="64"/>
      <c r="Q196" s="66"/>
      <c r="R196" s="36"/>
      <c r="S196" s="47" t="s">
        <v>149</v>
      </c>
      <c r="T196" s="246">
        <v>1</v>
      </c>
      <c r="V196" s="47" t="s">
        <v>195</v>
      </c>
      <c r="W196" s="47" t="str">
        <f t="shared" si="2"/>
        <v/>
      </c>
      <c r="X196" s="47" t="s">
        <v>349</v>
      </c>
      <c r="Y196" s="47" t="s">
        <v>349</v>
      </c>
      <c r="Z196" s="277">
        <v>45992</v>
      </c>
    </row>
    <row r="197" spans="1:26" s="47" customFormat="1" ht="12" hidden="1" x14ac:dyDescent="0.2">
      <c r="A197" s="265">
        <v>721</v>
      </c>
      <c r="B197" s="48" t="s">
        <v>743</v>
      </c>
      <c r="C197" s="49" t="s">
        <v>744</v>
      </c>
      <c r="D197" s="50">
        <v>45586</v>
      </c>
      <c r="E197" s="49" t="s">
        <v>745</v>
      </c>
      <c r="F197" s="63" t="s">
        <v>70</v>
      </c>
      <c r="G197" s="63" t="s">
        <v>347</v>
      </c>
      <c r="H197" s="49" t="s">
        <v>59</v>
      </c>
      <c r="I197" s="63" t="s">
        <v>746</v>
      </c>
      <c r="J197" s="63" t="s">
        <v>268</v>
      </c>
      <c r="K197" s="63"/>
      <c r="L197" s="63"/>
      <c r="M197" s="64"/>
      <c r="N197" s="63"/>
      <c r="O197" s="63"/>
      <c r="P197" s="64"/>
      <c r="Q197" s="66"/>
      <c r="R197" s="138">
        <v>45671</v>
      </c>
      <c r="S197" s="47" t="s">
        <v>149</v>
      </c>
      <c r="T197" s="246">
        <v>1</v>
      </c>
      <c r="V197" s="47" t="s">
        <v>195</v>
      </c>
      <c r="W197" s="47" t="str">
        <f t="shared" si="2"/>
        <v/>
      </c>
      <c r="X197" s="47" t="s">
        <v>349</v>
      </c>
      <c r="Y197" s="47" t="s">
        <v>1833</v>
      </c>
      <c r="Z197" s="277"/>
    </row>
    <row r="198" spans="1:26" s="47" customFormat="1" ht="12" x14ac:dyDescent="0.2">
      <c r="A198" s="265">
        <v>722</v>
      </c>
      <c r="B198" s="48" t="s">
        <v>747</v>
      </c>
      <c r="C198" s="48" t="s">
        <v>748</v>
      </c>
      <c r="D198" s="259">
        <v>45595</v>
      </c>
      <c r="E198" s="49" t="s">
        <v>464</v>
      </c>
      <c r="F198" s="48" t="s">
        <v>70</v>
      </c>
      <c r="G198" s="49" t="s">
        <v>124</v>
      </c>
      <c r="H198" s="49" t="s">
        <v>59</v>
      </c>
      <c r="I198" s="48" t="s">
        <v>194</v>
      </c>
      <c r="J198" s="48" t="s">
        <v>268</v>
      </c>
      <c r="K198" s="48"/>
      <c r="L198" s="48"/>
      <c r="M198" s="259"/>
      <c r="N198" s="48"/>
      <c r="O198" s="48"/>
      <c r="P198" s="259"/>
      <c r="Q198" s="48"/>
      <c r="R198" s="36"/>
      <c r="S198" s="47" t="s">
        <v>149</v>
      </c>
      <c r="T198" s="246">
        <v>1</v>
      </c>
      <c r="V198" s="47" t="s">
        <v>150</v>
      </c>
      <c r="W198" s="47" t="str">
        <f t="shared" ref="W198:W258" si="3">IF(AND(T198&lt;&gt;"",NOT(ISNUMBER(T198))),"Non-numeric","")</f>
        <v/>
      </c>
      <c r="X198" s="47" t="s">
        <v>1833</v>
      </c>
      <c r="Y198" s="47" t="s">
        <v>1833</v>
      </c>
      <c r="Z198" s="277">
        <v>45901</v>
      </c>
    </row>
    <row r="199" spans="1:26" x14ac:dyDescent="0.2">
      <c r="A199" s="265">
        <v>723</v>
      </c>
      <c r="B199" s="48" t="s">
        <v>749</v>
      </c>
      <c r="C199" s="48" t="s">
        <v>750</v>
      </c>
      <c r="D199" s="177">
        <v>45596</v>
      </c>
      <c r="E199" s="49" t="s">
        <v>181</v>
      </c>
      <c r="F199" s="63" t="s">
        <v>70</v>
      </c>
      <c r="G199" s="63" t="s">
        <v>120</v>
      </c>
      <c r="H199" s="49" t="s">
        <v>59</v>
      </c>
      <c r="I199" s="63" t="s">
        <v>546</v>
      </c>
      <c r="J199" s="63" t="s">
        <v>268</v>
      </c>
      <c r="K199" s="63"/>
      <c r="L199" s="63"/>
      <c r="M199" s="63"/>
      <c r="N199" s="63"/>
      <c r="O199" s="63"/>
      <c r="P199" s="63"/>
      <c r="Q199" s="66"/>
      <c r="R199" s="36"/>
      <c r="S199" s="47" t="s">
        <v>149</v>
      </c>
      <c r="T199" s="246">
        <v>1</v>
      </c>
      <c r="U199" s="47"/>
      <c r="V199" s="47" t="s">
        <v>150</v>
      </c>
      <c r="W199" s="47" t="str">
        <f t="shared" si="3"/>
        <v/>
      </c>
      <c r="X199" s="47" t="s">
        <v>349</v>
      </c>
      <c r="Y199" s="47" t="s">
        <v>349</v>
      </c>
      <c r="Z199" s="277">
        <v>45901</v>
      </c>
    </row>
    <row r="200" spans="1:26" x14ac:dyDescent="0.2">
      <c r="A200" s="265">
        <v>724</v>
      </c>
      <c r="B200" s="62" t="s">
        <v>751</v>
      </c>
      <c r="C200" s="63" t="s">
        <v>752</v>
      </c>
      <c r="D200" s="64">
        <v>45628</v>
      </c>
      <c r="E200" s="49" t="s">
        <v>173</v>
      </c>
      <c r="F200" s="63" t="s">
        <v>70</v>
      </c>
      <c r="G200" s="49" t="s">
        <v>124</v>
      </c>
      <c r="H200" s="49" t="s">
        <v>57</v>
      </c>
      <c r="I200" s="63" t="s">
        <v>423</v>
      </c>
      <c r="J200" s="63" t="s">
        <v>72</v>
      </c>
      <c r="K200" s="63"/>
      <c r="L200" s="63"/>
      <c r="M200" s="64"/>
      <c r="N200" s="63"/>
      <c r="O200" s="63"/>
      <c r="P200" s="64"/>
      <c r="Q200" s="66"/>
      <c r="R200" s="36"/>
      <c r="S200" s="47" t="s">
        <v>149</v>
      </c>
      <c r="T200" s="246">
        <v>1</v>
      </c>
      <c r="U200" s="47"/>
      <c r="V200" s="47" t="s">
        <v>195</v>
      </c>
      <c r="W200" s="47" t="str">
        <f t="shared" si="3"/>
        <v/>
      </c>
      <c r="X200" s="47" t="s">
        <v>349</v>
      </c>
      <c r="Y200" s="47" t="s">
        <v>1833</v>
      </c>
      <c r="Z200" s="277"/>
    </row>
    <row r="201" spans="1:26" x14ac:dyDescent="0.2">
      <c r="A201" s="265">
        <v>725</v>
      </c>
      <c r="B201" s="62" t="s">
        <v>753</v>
      </c>
      <c r="C201" s="63" t="s">
        <v>754</v>
      </c>
      <c r="D201" s="64">
        <v>45663</v>
      </c>
      <c r="E201" s="49" t="s">
        <v>511</v>
      </c>
      <c r="F201" s="63" t="s">
        <v>70</v>
      </c>
      <c r="G201" s="63" t="s">
        <v>120</v>
      </c>
      <c r="H201" s="49" t="s">
        <v>106</v>
      </c>
      <c r="I201" s="175" t="s">
        <v>512</v>
      </c>
      <c r="J201" s="63" t="s">
        <v>513</v>
      </c>
      <c r="K201" s="63"/>
      <c r="L201" s="63"/>
      <c r="M201" s="64"/>
      <c r="N201" s="63"/>
      <c r="O201" s="63"/>
      <c r="P201" s="64"/>
      <c r="Q201" s="66"/>
      <c r="R201" s="47"/>
      <c r="S201" s="47" t="s">
        <v>149</v>
      </c>
      <c r="T201" s="246">
        <v>1</v>
      </c>
      <c r="U201" s="47"/>
      <c r="V201" s="47" t="s">
        <v>150</v>
      </c>
      <c r="W201" s="47" t="str">
        <f t="shared" si="3"/>
        <v/>
      </c>
      <c r="X201" s="47" t="s">
        <v>349</v>
      </c>
      <c r="Y201" s="47" t="s">
        <v>349</v>
      </c>
      <c r="Z201" s="277">
        <v>45992</v>
      </c>
    </row>
    <row r="202" spans="1:26" x14ac:dyDescent="0.2">
      <c r="A202" s="265">
        <v>726</v>
      </c>
      <c r="B202" s="62" t="s">
        <v>755</v>
      </c>
      <c r="C202" s="63" t="s">
        <v>756</v>
      </c>
      <c r="D202" s="64">
        <v>45663</v>
      </c>
      <c r="E202" s="49" t="s">
        <v>757</v>
      </c>
      <c r="F202" s="63" t="s">
        <v>70</v>
      </c>
      <c r="G202" s="49" t="s">
        <v>122</v>
      </c>
      <c r="H202" s="49" t="s">
        <v>57</v>
      </c>
      <c r="I202" s="175" t="s">
        <v>423</v>
      </c>
      <c r="J202" s="63" t="s">
        <v>148</v>
      </c>
      <c r="K202" s="63"/>
      <c r="L202" s="63"/>
      <c r="M202" s="64"/>
      <c r="N202" s="63"/>
      <c r="O202" s="63"/>
      <c r="P202" s="64"/>
      <c r="Q202" s="66" t="s">
        <v>758</v>
      </c>
      <c r="R202" s="139">
        <v>45835</v>
      </c>
      <c r="S202" s="47" t="s">
        <v>149</v>
      </c>
      <c r="T202" s="246">
        <v>1</v>
      </c>
      <c r="U202" s="47" t="s">
        <v>349</v>
      </c>
      <c r="V202" s="47" t="e">
        <v>#N/A</v>
      </c>
      <c r="W202" s="47" t="str">
        <f t="shared" si="3"/>
        <v/>
      </c>
      <c r="X202" s="47" t="s">
        <v>349</v>
      </c>
      <c r="Y202" s="47" t="s">
        <v>1833</v>
      </c>
      <c r="Z202" s="277"/>
    </row>
    <row r="203" spans="1:26" x14ac:dyDescent="0.2">
      <c r="A203" s="264">
        <v>729</v>
      </c>
      <c r="B203" s="48" t="s">
        <v>759</v>
      </c>
      <c r="C203" s="49" t="s">
        <v>760</v>
      </c>
      <c r="D203" s="50">
        <v>45667</v>
      </c>
      <c r="E203" s="49" t="s">
        <v>274</v>
      </c>
      <c r="F203" s="49" t="s">
        <v>75</v>
      </c>
      <c r="G203" s="49" t="s">
        <v>275</v>
      </c>
      <c r="H203" s="49" t="s">
        <v>62</v>
      </c>
      <c r="I203" s="49" t="s">
        <v>276</v>
      </c>
      <c r="J203" s="49" t="s">
        <v>277</v>
      </c>
      <c r="K203" s="49"/>
      <c r="L203" s="49"/>
      <c r="M203" s="50"/>
      <c r="N203" s="49"/>
      <c r="O203" s="49"/>
      <c r="P203" s="50"/>
      <c r="Q203" s="52"/>
      <c r="R203" s="47"/>
      <c r="S203" s="47" t="s">
        <v>213</v>
      </c>
      <c r="T203" s="246">
        <v>0.5</v>
      </c>
      <c r="U203" s="47" t="s">
        <v>278</v>
      </c>
      <c r="V203" s="47" t="s">
        <v>150</v>
      </c>
      <c r="W203" s="47" t="str">
        <f t="shared" si="3"/>
        <v/>
      </c>
      <c r="X203" s="47" t="s">
        <v>349</v>
      </c>
      <c r="Y203" s="47" t="s">
        <v>1833</v>
      </c>
      <c r="Z203" s="277"/>
    </row>
    <row r="204" spans="1:26" x14ac:dyDescent="0.2">
      <c r="A204" s="265">
        <v>727</v>
      </c>
      <c r="B204" s="62" t="s">
        <v>761</v>
      </c>
      <c r="C204" s="63" t="s">
        <v>504</v>
      </c>
      <c r="D204" s="64">
        <v>45670</v>
      </c>
      <c r="E204" s="49" t="s">
        <v>169</v>
      </c>
      <c r="F204" s="63" t="s">
        <v>70</v>
      </c>
      <c r="G204" s="63" t="s">
        <v>120</v>
      </c>
      <c r="H204" s="49" t="s">
        <v>57</v>
      </c>
      <c r="I204" s="175" t="s">
        <v>162</v>
      </c>
      <c r="J204" s="63" t="s">
        <v>163</v>
      </c>
      <c r="K204" s="63"/>
      <c r="L204" s="63"/>
      <c r="M204" s="64"/>
      <c r="N204" s="63"/>
      <c r="O204" s="63"/>
      <c r="P204" s="64"/>
      <c r="Q204" s="66"/>
      <c r="R204" s="47"/>
      <c r="S204" s="47" t="s">
        <v>149</v>
      </c>
      <c r="T204" s="246">
        <v>1</v>
      </c>
      <c r="U204" s="47"/>
      <c r="V204" s="47" t="s">
        <v>150</v>
      </c>
      <c r="W204" s="47" t="str">
        <f t="shared" si="3"/>
        <v/>
      </c>
      <c r="X204" s="47" t="s">
        <v>349</v>
      </c>
      <c r="Y204" s="47" t="s">
        <v>1833</v>
      </c>
      <c r="Z204" s="277"/>
    </row>
    <row r="205" spans="1:26" x14ac:dyDescent="0.2">
      <c r="A205" s="265">
        <v>730</v>
      </c>
      <c r="B205" s="62" t="s">
        <v>762</v>
      </c>
      <c r="C205" s="63" t="s">
        <v>763</v>
      </c>
      <c r="D205" s="64">
        <v>45706</v>
      </c>
      <c r="E205" s="49" t="s">
        <v>403</v>
      </c>
      <c r="F205" s="63" t="s">
        <v>75</v>
      </c>
      <c r="G205" s="63" t="s">
        <v>119</v>
      </c>
      <c r="H205" s="49" t="s">
        <v>59</v>
      </c>
      <c r="I205" s="175" t="s">
        <v>194</v>
      </c>
      <c r="J205" s="63" t="s">
        <v>268</v>
      </c>
      <c r="K205" s="63"/>
      <c r="L205" s="63"/>
      <c r="M205" s="64"/>
      <c r="N205" s="63"/>
      <c r="O205" s="63"/>
      <c r="P205" s="64"/>
      <c r="Q205" s="66" t="s">
        <v>764</v>
      </c>
      <c r="R205" s="47"/>
      <c r="S205" s="47" t="s">
        <v>149</v>
      </c>
      <c r="T205" s="246">
        <v>1</v>
      </c>
      <c r="U205" s="47"/>
      <c r="V205" s="47" t="s">
        <v>150</v>
      </c>
      <c r="W205" s="47" t="str">
        <f t="shared" si="3"/>
        <v/>
      </c>
      <c r="X205" s="47" t="s">
        <v>349</v>
      </c>
      <c r="Y205" s="47" t="s">
        <v>349</v>
      </c>
      <c r="Z205" s="277">
        <v>45901</v>
      </c>
    </row>
    <row r="206" spans="1:26" x14ac:dyDescent="0.2">
      <c r="A206" s="265">
        <v>741</v>
      </c>
      <c r="B206" s="62" t="s">
        <v>765</v>
      </c>
      <c r="C206" s="63" t="s">
        <v>766</v>
      </c>
      <c r="D206" s="64">
        <v>45733</v>
      </c>
      <c r="E206" s="49" t="s">
        <v>767</v>
      </c>
      <c r="F206" s="63" t="s">
        <v>70</v>
      </c>
      <c r="G206" s="63" t="s">
        <v>121</v>
      </c>
      <c r="H206" s="49" t="s">
        <v>63</v>
      </c>
      <c r="I206" s="175" t="s">
        <v>147</v>
      </c>
      <c r="J206" s="63" t="s">
        <v>245</v>
      </c>
      <c r="K206" s="63"/>
      <c r="L206" s="63"/>
      <c r="M206" s="64"/>
      <c r="N206" s="63"/>
      <c r="O206" s="63"/>
      <c r="P206" s="64"/>
      <c r="Q206" s="66"/>
      <c r="R206" s="47"/>
      <c r="S206" s="47" t="s">
        <v>149</v>
      </c>
      <c r="T206" s="246">
        <v>1</v>
      </c>
      <c r="U206" s="47"/>
      <c r="V206" s="47" t="s">
        <v>150</v>
      </c>
      <c r="W206" s="47" t="str">
        <f t="shared" si="3"/>
        <v/>
      </c>
      <c r="X206" s="47" t="s">
        <v>349</v>
      </c>
      <c r="Y206" s="47" t="s">
        <v>349</v>
      </c>
      <c r="Z206" s="277">
        <v>45992</v>
      </c>
    </row>
    <row r="207" spans="1:26" x14ac:dyDescent="0.2">
      <c r="A207" s="265">
        <v>742</v>
      </c>
      <c r="B207" s="62" t="s">
        <v>768</v>
      </c>
      <c r="C207" s="63" t="s">
        <v>470</v>
      </c>
      <c r="D207" s="64">
        <v>45740</v>
      </c>
      <c r="E207" s="49" t="s">
        <v>769</v>
      </c>
      <c r="F207" s="63" t="s">
        <v>70</v>
      </c>
      <c r="G207" s="49" t="s">
        <v>124</v>
      </c>
      <c r="H207" s="49" t="s">
        <v>59</v>
      </c>
      <c r="I207" s="175" t="s">
        <v>746</v>
      </c>
      <c r="J207" s="63" t="s">
        <v>647</v>
      </c>
      <c r="K207" s="63"/>
      <c r="L207" s="63"/>
      <c r="M207" s="64"/>
      <c r="N207" s="63"/>
      <c r="O207" s="63"/>
      <c r="P207" s="64"/>
      <c r="Q207" s="66"/>
      <c r="R207" s="47"/>
      <c r="S207" s="47" t="s">
        <v>149</v>
      </c>
      <c r="T207" s="246">
        <v>1</v>
      </c>
      <c r="U207" s="47"/>
      <c r="V207" s="47" t="s">
        <v>195</v>
      </c>
      <c r="W207" s="47" t="str">
        <f t="shared" si="3"/>
        <v/>
      </c>
      <c r="X207" s="47" t="s">
        <v>349</v>
      </c>
      <c r="Y207" s="47" t="s">
        <v>349</v>
      </c>
      <c r="Z207" s="277">
        <v>45901</v>
      </c>
    </row>
    <row r="208" spans="1:26" x14ac:dyDescent="0.2">
      <c r="A208" s="265">
        <v>743</v>
      </c>
      <c r="B208" s="62" t="s">
        <v>770</v>
      </c>
      <c r="C208" s="63" t="s">
        <v>771</v>
      </c>
      <c r="D208" s="64">
        <v>45748</v>
      </c>
      <c r="E208" s="49" t="s">
        <v>772</v>
      </c>
      <c r="F208" s="63" t="s">
        <v>70</v>
      </c>
      <c r="G208" s="63" t="s">
        <v>227</v>
      </c>
      <c r="H208" s="49" t="s">
        <v>56</v>
      </c>
      <c r="I208" s="175" t="s">
        <v>221</v>
      </c>
      <c r="J208" s="63" t="s">
        <v>227</v>
      </c>
      <c r="K208" s="63"/>
      <c r="L208" s="63"/>
      <c r="M208" s="64"/>
      <c r="N208" s="63"/>
      <c r="O208" s="63"/>
      <c r="P208" s="64"/>
      <c r="Q208" s="66"/>
      <c r="R208" s="47"/>
      <c r="S208" s="47" t="s">
        <v>149</v>
      </c>
      <c r="T208" s="246">
        <v>1</v>
      </c>
      <c r="U208" s="47"/>
      <c r="V208" s="47" t="s">
        <v>195</v>
      </c>
      <c r="W208" s="47" t="str">
        <f t="shared" si="3"/>
        <v/>
      </c>
      <c r="X208" s="47" t="s">
        <v>1833</v>
      </c>
      <c r="Y208" s="47" t="s">
        <v>1833</v>
      </c>
      <c r="Z208" s="277">
        <v>45870</v>
      </c>
    </row>
    <row r="209" spans="1:26" x14ac:dyDescent="0.2">
      <c r="A209" s="265">
        <v>745</v>
      </c>
      <c r="B209" s="63" t="s">
        <v>773</v>
      </c>
      <c r="C209" s="49" t="s">
        <v>774</v>
      </c>
      <c r="D209" s="64">
        <v>45796</v>
      </c>
      <c r="E209" s="49" t="s">
        <v>243</v>
      </c>
      <c r="F209" s="63" t="s">
        <v>91</v>
      </c>
      <c r="G209" s="63" t="s">
        <v>775</v>
      </c>
      <c r="H209" s="49" t="s">
        <v>63</v>
      </c>
      <c r="I209" s="175" t="s">
        <v>244</v>
      </c>
      <c r="J209" s="63" t="s">
        <v>245</v>
      </c>
      <c r="K209" s="63"/>
      <c r="L209" s="63"/>
      <c r="M209" s="64"/>
      <c r="N209" s="63"/>
      <c r="O209" s="63"/>
      <c r="P209" s="64"/>
      <c r="Q209" s="66" t="s">
        <v>776</v>
      </c>
      <c r="R209" s="47"/>
      <c r="S209" s="47" t="s">
        <v>213</v>
      </c>
      <c r="T209" s="246">
        <f>12/37.5</f>
        <v>0.32</v>
      </c>
      <c r="U209" s="47" t="s">
        <v>349</v>
      </c>
      <c r="V209" s="47" t="s">
        <v>195</v>
      </c>
      <c r="W209" s="47" t="str">
        <f t="shared" si="3"/>
        <v/>
      </c>
      <c r="X209" s="47" t="s">
        <v>349</v>
      </c>
      <c r="Y209" s="47" t="s">
        <v>349</v>
      </c>
      <c r="Z209" s="277">
        <v>45992</v>
      </c>
    </row>
    <row r="210" spans="1:26" x14ac:dyDescent="0.2">
      <c r="A210" s="265">
        <v>747</v>
      </c>
      <c r="B210" s="62" t="s">
        <v>777</v>
      </c>
      <c r="C210" s="63" t="s">
        <v>778</v>
      </c>
      <c r="D210" s="64">
        <v>45813</v>
      </c>
      <c r="E210" s="49" t="s">
        <v>779</v>
      </c>
      <c r="F210" s="63" t="s">
        <v>75</v>
      </c>
      <c r="G210" s="63" t="s">
        <v>775</v>
      </c>
      <c r="H210" s="49" t="s">
        <v>63</v>
      </c>
      <c r="I210" s="175" t="s">
        <v>244</v>
      </c>
      <c r="J210" s="63" t="s">
        <v>55</v>
      </c>
      <c r="K210" s="63"/>
      <c r="L210" s="63"/>
      <c r="M210" s="64"/>
      <c r="N210" s="63"/>
      <c r="O210" s="63"/>
      <c r="P210" s="64"/>
      <c r="Q210" s="66" t="s">
        <v>780</v>
      </c>
      <c r="R210" s="47"/>
      <c r="S210" s="47" t="s">
        <v>149</v>
      </c>
      <c r="T210" s="246">
        <v>1</v>
      </c>
      <c r="U210" s="47"/>
      <c r="V210" s="47" t="s">
        <v>195</v>
      </c>
      <c r="W210" s="47" t="str">
        <f t="shared" si="3"/>
        <v/>
      </c>
      <c r="X210" s="47" t="s">
        <v>1833</v>
      </c>
      <c r="Y210" s="47" t="s">
        <v>1833</v>
      </c>
      <c r="Z210" s="277" t="s">
        <v>1834</v>
      </c>
    </row>
    <row r="211" spans="1:26" x14ac:dyDescent="0.2">
      <c r="A211" s="265">
        <v>746</v>
      </c>
      <c r="B211" s="62" t="s">
        <v>781</v>
      </c>
      <c r="C211" s="63" t="s">
        <v>782</v>
      </c>
      <c r="D211" s="64">
        <v>45817</v>
      </c>
      <c r="E211" s="49" t="s">
        <v>783</v>
      </c>
      <c r="F211" s="63" t="s">
        <v>70</v>
      </c>
      <c r="G211" s="63" t="s">
        <v>122</v>
      </c>
      <c r="H211" s="49" t="s">
        <v>46</v>
      </c>
      <c r="I211" s="175" t="s">
        <v>157</v>
      </c>
      <c r="J211" s="63" t="s">
        <v>158</v>
      </c>
      <c r="K211" s="63"/>
      <c r="L211" s="63"/>
      <c r="M211" s="64"/>
      <c r="N211" s="63"/>
      <c r="O211" s="63"/>
      <c r="P211" s="64"/>
      <c r="Q211" s="66"/>
      <c r="R211" s="47"/>
      <c r="S211" s="47" t="s">
        <v>149</v>
      </c>
      <c r="T211" s="246">
        <v>1</v>
      </c>
      <c r="U211" s="47"/>
      <c r="V211" s="47" t="s">
        <v>150</v>
      </c>
      <c r="W211" s="47" t="str">
        <f t="shared" si="3"/>
        <v/>
      </c>
      <c r="X211" s="47" t="s">
        <v>349</v>
      </c>
      <c r="Y211" s="47" t="s">
        <v>349</v>
      </c>
      <c r="Z211" s="277">
        <v>45992</v>
      </c>
    </row>
    <row r="212" spans="1:26" x14ac:dyDescent="0.2">
      <c r="A212" s="266">
        <v>748</v>
      </c>
      <c r="B212" s="62" t="s">
        <v>784</v>
      </c>
      <c r="C212" s="63" t="s">
        <v>255</v>
      </c>
      <c r="D212" s="64">
        <v>45824</v>
      </c>
      <c r="E212" s="49" t="s">
        <v>785</v>
      </c>
      <c r="F212" s="63" t="s">
        <v>70</v>
      </c>
      <c r="G212" s="63" t="s">
        <v>120</v>
      </c>
      <c r="H212" s="49" t="s">
        <v>63</v>
      </c>
      <c r="I212" s="175" t="s">
        <v>244</v>
      </c>
      <c r="J212" s="63" t="s">
        <v>245</v>
      </c>
      <c r="K212" s="63"/>
      <c r="L212" s="63"/>
      <c r="M212" s="64"/>
      <c r="N212" s="63"/>
      <c r="O212" s="63"/>
      <c r="P212" s="64"/>
      <c r="Q212" s="66" t="s">
        <v>786</v>
      </c>
      <c r="R212" s="47"/>
      <c r="S212" s="47" t="s">
        <v>149</v>
      </c>
      <c r="T212" s="246">
        <v>1</v>
      </c>
      <c r="U212" s="47" t="s">
        <v>349</v>
      </c>
      <c r="V212" s="47" t="s">
        <v>150</v>
      </c>
      <c r="W212" s="47" t="str">
        <f t="shared" si="3"/>
        <v/>
      </c>
      <c r="X212" s="47" t="s">
        <v>349</v>
      </c>
      <c r="Y212" s="47" t="s">
        <v>349</v>
      </c>
      <c r="Z212" s="277">
        <v>45992</v>
      </c>
    </row>
    <row r="213" spans="1:26" x14ac:dyDescent="0.2">
      <c r="A213" s="265">
        <v>750</v>
      </c>
      <c r="B213" s="62" t="s">
        <v>787</v>
      </c>
      <c r="C213" s="63" t="s">
        <v>788</v>
      </c>
      <c r="D213" s="64">
        <v>45832</v>
      </c>
      <c r="E213" s="49" t="s">
        <v>789</v>
      </c>
      <c r="F213" s="63" t="s">
        <v>70</v>
      </c>
      <c r="G213" s="63" t="s">
        <v>120</v>
      </c>
      <c r="H213" s="49" t="s">
        <v>106</v>
      </c>
      <c r="I213" s="175" t="s">
        <v>283</v>
      </c>
      <c r="J213" s="63" t="s">
        <v>790</v>
      </c>
      <c r="K213" s="63"/>
      <c r="L213" s="63"/>
      <c r="M213" s="64"/>
      <c r="N213" s="63"/>
      <c r="O213" s="63"/>
      <c r="P213" s="64"/>
      <c r="Q213" s="66" t="s">
        <v>1816</v>
      </c>
      <c r="R213" s="139"/>
      <c r="S213" s="47" t="s">
        <v>149</v>
      </c>
      <c r="T213" s="246">
        <v>1</v>
      </c>
      <c r="U213" s="47" t="s">
        <v>349</v>
      </c>
      <c r="V213" s="47" t="s">
        <v>150</v>
      </c>
      <c r="W213" s="47" t="str">
        <f t="shared" si="3"/>
        <v/>
      </c>
      <c r="X213" s="47" t="s">
        <v>349</v>
      </c>
      <c r="Y213" s="47" t="s">
        <v>349</v>
      </c>
      <c r="Z213" s="277">
        <v>45992</v>
      </c>
    </row>
    <row r="214" spans="1:26" x14ac:dyDescent="0.2">
      <c r="A214" s="265">
        <v>751</v>
      </c>
      <c r="B214" s="62" t="s">
        <v>791</v>
      </c>
      <c r="C214" s="63" t="s">
        <v>792</v>
      </c>
      <c r="D214" s="64">
        <v>45852</v>
      </c>
      <c r="E214" s="49" t="s">
        <v>793</v>
      </c>
      <c r="F214" s="63" t="s">
        <v>70</v>
      </c>
      <c r="G214" s="63" t="s">
        <v>119</v>
      </c>
      <c r="H214" s="49" t="s">
        <v>61</v>
      </c>
      <c r="I214" s="175" t="s">
        <v>794</v>
      </c>
      <c r="J214" s="63"/>
      <c r="K214" s="63"/>
      <c r="L214" s="63"/>
      <c r="M214" s="64"/>
      <c r="N214" s="63"/>
      <c r="O214" s="63"/>
      <c r="P214" s="64"/>
      <c r="Q214" s="66"/>
      <c r="R214" s="47"/>
      <c r="S214" s="47" t="s">
        <v>149</v>
      </c>
      <c r="T214" s="246">
        <v>1</v>
      </c>
      <c r="U214" s="47"/>
      <c r="V214" s="47" t="s">
        <v>195</v>
      </c>
      <c r="W214" s="47" t="str">
        <f t="shared" si="3"/>
        <v/>
      </c>
      <c r="X214" s="47" t="s">
        <v>349</v>
      </c>
      <c r="Y214" s="47" t="s">
        <v>1833</v>
      </c>
      <c r="Z214" s="277"/>
    </row>
    <row r="215" spans="1:26" x14ac:dyDescent="0.2">
      <c r="A215" s="265">
        <v>749</v>
      </c>
      <c r="B215" s="62" t="s">
        <v>795</v>
      </c>
      <c r="C215" s="63" t="s">
        <v>796</v>
      </c>
      <c r="D215" s="64">
        <v>45855</v>
      </c>
      <c r="E215" s="49" t="s">
        <v>785</v>
      </c>
      <c r="F215" s="63" t="s">
        <v>70</v>
      </c>
      <c r="G215" s="63" t="s">
        <v>120</v>
      </c>
      <c r="H215" s="49" t="s">
        <v>63</v>
      </c>
      <c r="I215" s="175" t="s">
        <v>244</v>
      </c>
      <c r="J215" s="63" t="s">
        <v>245</v>
      </c>
      <c r="K215" s="63"/>
      <c r="L215" s="63"/>
      <c r="M215" s="64"/>
      <c r="N215" s="63"/>
      <c r="O215" s="63"/>
      <c r="P215" s="64"/>
      <c r="Q215" s="66" t="s">
        <v>797</v>
      </c>
      <c r="R215" s="139">
        <v>45947</v>
      </c>
      <c r="S215" s="47" t="s">
        <v>149</v>
      </c>
      <c r="T215" s="246">
        <v>1</v>
      </c>
      <c r="U215" s="47" t="s">
        <v>349</v>
      </c>
      <c r="V215" s="47" t="s">
        <v>195</v>
      </c>
      <c r="W215" s="47" t="str">
        <f t="shared" si="3"/>
        <v/>
      </c>
      <c r="X215" s="47" t="s">
        <v>349</v>
      </c>
      <c r="Y215" s="47" t="s">
        <v>1833</v>
      </c>
      <c r="Z215" s="277"/>
    </row>
    <row r="216" spans="1:26" x14ac:dyDescent="0.2">
      <c r="A216" s="265">
        <v>752</v>
      </c>
      <c r="B216" s="62" t="s">
        <v>798</v>
      </c>
      <c r="C216" s="63" t="s">
        <v>799</v>
      </c>
      <c r="D216" s="64">
        <v>45859</v>
      </c>
      <c r="E216" s="49" t="s">
        <v>185</v>
      </c>
      <c r="F216" s="63" t="s">
        <v>70</v>
      </c>
      <c r="G216" s="63" t="s">
        <v>120</v>
      </c>
      <c r="H216" s="49" t="s">
        <v>46</v>
      </c>
      <c r="I216" s="175" t="s">
        <v>187</v>
      </c>
      <c r="J216" s="63" t="s">
        <v>158</v>
      </c>
      <c r="K216" s="63"/>
      <c r="L216" s="63"/>
      <c r="M216" s="64"/>
      <c r="N216" s="63"/>
      <c r="O216" s="63"/>
      <c r="P216" s="64"/>
      <c r="Q216" s="66"/>
      <c r="R216" s="47"/>
      <c r="S216" s="47" t="s">
        <v>149</v>
      </c>
      <c r="T216" s="246">
        <v>1</v>
      </c>
      <c r="U216" s="47"/>
      <c r="V216" s="47" t="s">
        <v>150</v>
      </c>
      <c r="W216" s="47" t="str">
        <f t="shared" si="3"/>
        <v/>
      </c>
      <c r="X216" s="47" t="s">
        <v>349</v>
      </c>
      <c r="Y216" s="47" t="s">
        <v>349</v>
      </c>
      <c r="Z216" s="277">
        <v>45992</v>
      </c>
    </row>
    <row r="217" spans="1:26" x14ac:dyDescent="0.2">
      <c r="A217" s="265">
        <v>754</v>
      </c>
      <c r="B217" s="62" t="s">
        <v>800</v>
      </c>
      <c r="C217" s="63" t="s">
        <v>801</v>
      </c>
      <c r="D217" s="64">
        <v>45873</v>
      </c>
      <c r="E217" s="49" t="s">
        <v>169</v>
      </c>
      <c r="F217" s="63" t="s">
        <v>70</v>
      </c>
      <c r="G217" s="63" t="s">
        <v>120</v>
      </c>
      <c r="H217" s="63" t="s">
        <v>61</v>
      </c>
      <c r="I217" s="175" t="s">
        <v>314</v>
      </c>
      <c r="J217" s="63"/>
      <c r="K217" s="63"/>
      <c r="L217" s="63"/>
      <c r="M217" s="64"/>
      <c r="N217" s="63"/>
      <c r="O217" s="63"/>
      <c r="P217" s="64"/>
      <c r="Q217" s="66"/>
      <c r="R217" s="47"/>
      <c r="S217" s="47" t="s">
        <v>149</v>
      </c>
      <c r="T217" s="246">
        <v>1</v>
      </c>
      <c r="U217" s="47"/>
      <c r="V217" s="47" t="s">
        <v>150</v>
      </c>
      <c r="W217" s="47" t="str">
        <f t="shared" si="3"/>
        <v/>
      </c>
      <c r="X217" s="47" t="s">
        <v>349</v>
      </c>
      <c r="Y217" s="47" t="s">
        <v>1833</v>
      </c>
      <c r="Z217" s="277"/>
    </row>
    <row r="218" spans="1:26" x14ac:dyDescent="0.2">
      <c r="A218" s="265">
        <v>757</v>
      </c>
      <c r="B218" s="62" t="s">
        <v>802</v>
      </c>
      <c r="C218" s="63" t="s">
        <v>803</v>
      </c>
      <c r="D218" s="64">
        <v>45880</v>
      </c>
      <c r="E218" s="49" t="s">
        <v>804</v>
      </c>
      <c r="F218" s="63" t="s">
        <v>70</v>
      </c>
      <c r="G218" s="49" t="s">
        <v>120</v>
      </c>
      <c r="H218" s="63" t="s">
        <v>57</v>
      </c>
      <c r="I218" s="175" t="s">
        <v>423</v>
      </c>
      <c r="J218" s="63" t="s">
        <v>72</v>
      </c>
      <c r="K218" s="63"/>
      <c r="L218" s="63"/>
      <c r="M218" s="64"/>
      <c r="N218" s="63"/>
      <c r="O218" s="63"/>
      <c r="P218" s="64"/>
      <c r="Q218" s="66" t="s">
        <v>805</v>
      </c>
      <c r="R218" s="47"/>
      <c r="S218" s="47" t="s">
        <v>149</v>
      </c>
      <c r="T218" s="246">
        <v>1</v>
      </c>
      <c r="U218" s="47"/>
      <c r="V218" s="47" t="s">
        <v>150</v>
      </c>
      <c r="W218" s="47" t="str">
        <f t="shared" si="3"/>
        <v/>
      </c>
      <c r="X218" s="47" t="s">
        <v>1833</v>
      </c>
      <c r="Y218" s="47" t="s">
        <v>1833</v>
      </c>
      <c r="Z218" s="277" t="s">
        <v>1834</v>
      </c>
    </row>
    <row r="219" spans="1:26" x14ac:dyDescent="0.2">
      <c r="A219" s="265">
        <v>756</v>
      </c>
      <c r="B219" s="62" t="s">
        <v>806</v>
      </c>
      <c r="C219" s="63" t="s">
        <v>807</v>
      </c>
      <c r="D219" s="64">
        <v>45880</v>
      </c>
      <c r="E219" s="49" t="s">
        <v>318</v>
      </c>
      <c r="F219" s="63" t="s">
        <v>70</v>
      </c>
      <c r="G219" s="63" t="s">
        <v>122</v>
      </c>
      <c r="H219" s="63" t="s">
        <v>61</v>
      </c>
      <c r="I219" s="175" t="s">
        <v>400</v>
      </c>
      <c r="J219" s="63"/>
      <c r="K219" s="63"/>
      <c r="L219" s="63"/>
      <c r="M219" s="64"/>
      <c r="N219" s="63"/>
      <c r="O219" s="63"/>
      <c r="P219" s="64"/>
      <c r="Q219" s="66"/>
      <c r="R219" s="47"/>
      <c r="S219" s="47" t="s">
        <v>149</v>
      </c>
      <c r="T219" s="246">
        <v>1</v>
      </c>
      <c r="U219" s="47"/>
      <c r="V219" s="47" t="s">
        <v>195</v>
      </c>
      <c r="W219" s="47" t="str">
        <f t="shared" si="3"/>
        <v/>
      </c>
      <c r="X219" s="47" t="s">
        <v>349</v>
      </c>
      <c r="Y219" s="47" t="s">
        <v>1833</v>
      </c>
      <c r="Z219" s="277"/>
    </row>
    <row r="220" spans="1:26" x14ac:dyDescent="0.2">
      <c r="A220" s="265">
        <v>759</v>
      </c>
      <c r="B220" s="62" t="s">
        <v>808</v>
      </c>
      <c r="C220" s="63" t="s">
        <v>809</v>
      </c>
      <c r="D220" s="64">
        <v>45887</v>
      </c>
      <c r="E220" s="49" t="s">
        <v>810</v>
      </c>
      <c r="F220" s="63" t="s">
        <v>75</v>
      </c>
      <c r="G220" s="63" t="s">
        <v>119</v>
      </c>
      <c r="H220" s="63" t="s">
        <v>63</v>
      </c>
      <c r="I220" s="175" t="s">
        <v>244</v>
      </c>
      <c r="J220" s="63" t="s">
        <v>245</v>
      </c>
      <c r="K220" s="63"/>
      <c r="L220" s="63"/>
      <c r="M220" s="64"/>
      <c r="N220" s="63"/>
      <c r="O220" s="63"/>
      <c r="P220" s="64"/>
      <c r="Q220" s="66" t="s">
        <v>811</v>
      </c>
      <c r="R220" s="139"/>
      <c r="S220" s="47" t="s">
        <v>213</v>
      </c>
      <c r="T220" s="246">
        <v>0.5</v>
      </c>
      <c r="U220" s="47" t="s">
        <v>349</v>
      </c>
      <c r="V220" s="47" t="s">
        <v>150</v>
      </c>
      <c r="W220" s="47" t="str">
        <f t="shared" si="3"/>
        <v/>
      </c>
      <c r="X220" s="47" t="s">
        <v>349</v>
      </c>
      <c r="Y220" s="47" t="s">
        <v>1833</v>
      </c>
      <c r="Z220" s="277"/>
    </row>
    <row r="221" spans="1:26" x14ac:dyDescent="0.2">
      <c r="A221" s="265">
        <v>755</v>
      </c>
      <c r="B221" s="62" t="s">
        <v>812</v>
      </c>
      <c r="C221" s="63" t="s">
        <v>813</v>
      </c>
      <c r="D221" s="64">
        <v>45894</v>
      </c>
      <c r="E221" s="49" t="s">
        <v>814</v>
      </c>
      <c r="F221" s="63" t="s">
        <v>72</v>
      </c>
      <c r="G221" s="63" t="s">
        <v>120</v>
      </c>
      <c r="H221" s="63" t="s">
        <v>57</v>
      </c>
      <c r="I221" s="175" t="s">
        <v>162</v>
      </c>
      <c r="J221" s="63" t="s">
        <v>163</v>
      </c>
      <c r="K221" s="63"/>
      <c r="L221" s="63"/>
      <c r="M221" s="64"/>
      <c r="N221" s="63"/>
      <c r="O221" s="63"/>
      <c r="P221" s="64"/>
      <c r="Q221" s="66"/>
      <c r="R221" s="47"/>
      <c r="S221" s="47" t="s">
        <v>149</v>
      </c>
      <c r="T221" s="246">
        <v>1</v>
      </c>
      <c r="U221" s="47"/>
      <c r="V221" s="47" t="s">
        <v>150</v>
      </c>
      <c r="W221" s="47" t="str">
        <f t="shared" si="3"/>
        <v/>
      </c>
      <c r="X221" s="47" t="s">
        <v>349</v>
      </c>
      <c r="Y221" s="47" t="s">
        <v>1833</v>
      </c>
      <c r="Z221" s="277"/>
    </row>
    <row r="222" spans="1:26" x14ac:dyDescent="0.2">
      <c r="A222" s="265">
        <v>766</v>
      </c>
      <c r="B222" s="62" t="s">
        <v>815</v>
      </c>
      <c r="C222" s="63" t="s">
        <v>816</v>
      </c>
      <c r="D222" s="64">
        <v>45894</v>
      </c>
      <c r="E222" s="49" t="s">
        <v>169</v>
      </c>
      <c r="F222" s="63" t="s">
        <v>70</v>
      </c>
      <c r="G222" s="63" t="s">
        <v>120</v>
      </c>
      <c r="H222" s="63" t="s">
        <v>61</v>
      </c>
      <c r="I222" s="175" t="s">
        <v>314</v>
      </c>
      <c r="J222" s="63"/>
      <c r="K222" s="63"/>
      <c r="L222" s="63"/>
      <c r="M222" s="64"/>
      <c r="N222" s="63"/>
      <c r="O222" s="63"/>
      <c r="P222" s="64"/>
      <c r="Q222" s="66"/>
      <c r="R222" s="47"/>
      <c r="S222" s="47" t="s">
        <v>149</v>
      </c>
      <c r="T222" s="246">
        <v>1</v>
      </c>
      <c r="U222" s="47"/>
      <c r="V222" s="47" t="s">
        <v>150</v>
      </c>
      <c r="W222" s="47" t="str">
        <f t="shared" si="3"/>
        <v/>
      </c>
      <c r="X222" s="47" t="s">
        <v>349</v>
      </c>
      <c r="Y222" s="47" t="s">
        <v>1833</v>
      </c>
      <c r="Z222" s="277"/>
    </row>
    <row r="223" spans="1:26" x14ac:dyDescent="0.2">
      <c r="A223" s="265">
        <v>767</v>
      </c>
      <c r="B223" s="62" t="s">
        <v>765</v>
      </c>
      <c r="C223" s="63" t="s">
        <v>817</v>
      </c>
      <c r="D223" s="64">
        <v>45902</v>
      </c>
      <c r="E223" s="49" t="s">
        <v>818</v>
      </c>
      <c r="F223" s="63" t="s">
        <v>70</v>
      </c>
      <c r="G223" s="63" t="s">
        <v>119</v>
      </c>
      <c r="H223" s="63" t="s">
        <v>106</v>
      </c>
      <c r="I223" s="175" t="s">
        <v>357</v>
      </c>
      <c r="J223" s="63" t="s">
        <v>819</v>
      </c>
      <c r="K223" s="63"/>
      <c r="L223" s="63"/>
      <c r="M223" s="64"/>
      <c r="N223" s="63"/>
      <c r="O223" s="63"/>
      <c r="P223" s="64"/>
      <c r="Q223" s="66" t="s">
        <v>820</v>
      </c>
      <c r="R223" s="47"/>
      <c r="S223" s="47"/>
      <c r="T223" s="246">
        <v>0.3</v>
      </c>
      <c r="U223" s="47" t="s">
        <v>349</v>
      </c>
      <c r="V223" s="47" t="s">
        <v>150</v>
      </c>
      <c r="W223" s="47" t="str">
        <f t="shared" si="3"/>
        <v/>
      </c>
      <c r="X223" s="47" t="s">
        <v>349</v>
      </c>
      <c r="Y223" s="47" t="s">
        <v>349</v>
      </c>
      <c r="Z223" s="277">
        <v>45992</v>
      </c>
    </row>
    <row r="224" spans="1:26" x14ac:dyDescent="0.2">
      <c r="A224" s="274">
        <v>771</v>
      </c>
      <c r="B224" s="62" t="s">
        <v>821</v>
      </c>
      <c r="C224" s="63" t="s">
        <v>822</v>
      </c>
      <c r="D224" s="64">
        <v>45992</v>
      </c>
      <c r="E224" s="49" t="s">
        <v>432</v>
      </c>
      <c r="F224" s="63" t="s">
        <v>70</v>
      </c>
      <c r="G224" s="63" t="s">
        <v>120</v>
      </c>
      <c r="H224" s="63" t="s">
        <v>46</v>
      </c>
      <c r="I224" s="175" t="s">
        <v>170</v>
      </c>
      <c r="J224" s="63" t="s">
        <v>158</v>
      </c>
      <c r="K224" s="63"/>
      <c r="L224" s="63"/>
      <c r="M224" s="64"/>
      <c r="N224" s="63"/>
      <c r="O224" s="63"/>
      <c r="P224" s="64"/>
      <c r="Q224" s="66" t="s">
        <v>1812</v>
      </c>
      <c r="R224" s="47"/>
      <c r="S224" s="47" t="s">
        <v>149</v>
      </c>
      <c r="T224" s="246">
        <v>1</v>
      </c>
      <c r="U224" s="47"/>
      <c r="V224" s="47" t="s">
        <v>150</v>
      </c>
      <c r="W224" s="47" t="str">
        <f t="shared" si="3"/>
        <v/>
      </c>
      <c r="X224" s="47" t="s">
        <v>349</v>
      </c>
      <c r="Y224" s="47" t="s">
        <v>349</v>
      </c>
      <c r="Z224" s="277">
        <v>45992</v>
      </c>
    </row>
    <row r="225" spans="1:26" x14ac:dyDescent="0.2">
      <c r="A225" s="265">
        <v>768</v>
      </c>
      <c r="B225" s="62" t="s">
        <v>826</v>
      </c>
      <c r="C225" s="63" t="s">
        <v>827</v>
      </c>
      <c r="D225" s="64">
        <v>45908</v>
      </c>
      <c r="E225" s="49" t="s">
        <v>828</v>
      </c>
      <c r="F225" s="63" t="s">
        <v>91</v>
      </c>
      <c r="G225" s="63" t="s">
        <v>122</v>
      </c>
      <c r="H225" s="63" t="s">
        <v>46</v>
      </c>
      <c r="I225" s="175" t="s">
        <v>829</v>
      </c>
      <c r="J225" s="63" t="s">
        <v>158</v>
      </c>
      <c r="K225" s="63"/>
      <c r="L225" s="63"/>
      <c r="M225" s="64"/>
      <c r="N225" s="63"/>
      <c r="O225" s="63"/>
      <c r="P225" s="64"/>
      <c r="Q225" s="66" t="s">
        <v>830</v>
      </c>
      <c r="R225" s="47"/>
      <c r="S225" s="47" t="s">
        <v>149</v>
      </c>
      <c r="T225" s="246">
        <v>1</v>
      </c>
      <c r="U225" s="47" t="s">
        <v>278</v>
      </c>
      <c r="V225" s="47" t="s">
        <v>195</v>
      </c>
      <c r="W225" s="47" t="str">
        <f t="shared" si="3"/>
        <v/>
      </c>
      <c r="X225" s="47" t="s">
        <v>349</v>
      </c>
      <c r="Y225" s="47" t="s">
        <v>349</v>
      </c>
      <c r="Z225" s="277">
        <v>45992</v>
      </c>
    </row>
    <row r="226" spans="1:26" x14ac:dyDescent="0.2">
      <c r="A226" s="265">
        <v>770</v>
      </c>
      <c r="B226" s="62" t="s">
        <v>831</v>
      </c>
      <c r="C226" s="63" t="s">
        <v>832</v>
      </c>
      <c r="D226" s="64">
        <v>45908</v>
      </c>
      <c r="E226" s="49" t="s">
        <v>823</v>
      </c>
      <c r="F226" s="63" t="s">
        <v>70</v>
      </c>
      <c r="G226" s="63" t="s">
        <v>120</v>
      </c>
      <c r="H226" s="63" t="s">
        <v>898</v>
      </c>
      <c r="I226" s="175" t="s">
        <v>824</v>
      </c>
      <c r="J226" s="63"/>
      <c r="K226" s="63"/>
      <c r="L226" s="63"/>
      <c r="M226" s="64"/>
      <c r="N226" s="63"/>
      <c r="O226" s="63"/>
      <c r="P226" s="64"/>
      <c r="Q226" s="66" t="s">
        <v>825</v>
      </c>
      <c r="R226" s="47"/>
      <c r="S226" s="47"/>
      <c r="T226" s="246"/>
      <c r="U226" s="47" t="s">
        <v>278</v>
      </c>
      <c r="V226" s="47" t="s">
        <v>195</v>
      </c>
      <c r="W226" s="47" t="str">
        <f t="shared" si="3"/>
        <v/>
      </c>
      <c r="X226" s="47" t="s">
        <v>349</v>
      </c>
      <c r="Y226" s="47" t="s">
        <v>349</v>
      </c>
      <c r="Z226" s="277">
        <v>45992</v>
      </c>
    </row>
    <row r="227" spans="1:26" x14ac:dyDescent="0.2">
      <c r="A227" s="265">
        <v>769</v>
      </c>
      <c r="B227" s="62" t="s">
        <v>833</v>
      </c>
      <c r="C227" s="63" t="s">
        <v>834</v>
      </c>
      <c r="D227" s="64">
        <v>45908</v>
      </c>
      <c r="E227" s="49" t="s">
        <v>823</v>
      </c>
      <c r="F227" s="63" t="s">
        <v>70</v>
      </c>
      <c r="G227" s="63" t="s">
        <v>120</v>
      </c>
      <c r="H227" s="63" t="s">
        <v>898</v>
      </c>
      <c r="I227" s="175" t="s">
        <v>824</v>
      </c>
      <c r="J227" s="63"/>
      <c r="K227" s="63"/>
      <c r="L227" s="63"/>
      <c r="M227" s="64"/>
      <c r="N227" s="63"/>
      <c r="O227" s="63"/>
      <c r="P227" s="64"/>
      <c r="Q227" s="66" t="s">
        <v>1815</v>
      </c>
      <c r="R227" s="47"/>
      <c r="S227" s="47"/>
      <c r="T227" s="246"/>
      <c r="U227" s="47" t="s">
        <v>278</v>
      </c>
      <c r="V227" s="47" t="s">
        <v>150</v>
      </c>
      <c r="W227" s="47" t="str">
        <f t="shared" si="3"/>
        <v/>
      </c>
      <c r="X227" s="47" t="s">
        <v>349</v>
      </c>
      <c r="Y227" s="47" t="s">
        <v>349</v>
      </c>
      <c r="Z227" s="277">
        <v>45992</v>
      </c>
    </row>
    <row r="228" spans="1:26" x14ac:dyDescent="0.2">
      <c r="A228" s="265">
        <v>781</v>
      </c>
      <c r="B228" s="62" t="s">
        <v>835</v>
      </c>
      <c r="C228" s="63" t="s">
        <v>836</v>
      </c>
      <c r="D228" s="64">
        <v>45915</v>
      </c>
      <c r="E228" s="49" t="s">
        <v>313</v>
      </c>
      <c r="F228" s="63" t="s">
        <v>70</v>
      </c>
      <c r="G228" s="63" t="s">
        <v>120</v>
      </c>
      <c r="H228" s="63" t="s">
        <v>46</v>
      </c>
      <c r="I228" s="175" t="s">
        <v>170</v>
      </c>
      <c r="J228" s="63" t="s">
        <v>158</v>
      </c>
      <c r="K228" s="63"/>
      <c r="L228" s="63"/>
      <c r="M228" s="64"/>
      <c r="N228" s="63"/>
      <c r="O228" s="63"/>
      <c r="P228" s="64"/>
      <c r="Q228" s="66"/>
      <c r="R228" s="47"/>
      <c r="S228" s="47" t="s">
        <v>149</v>
      </c>
      <c r="T228" s="246">
        <v>1</v>
      </c>
      <c r="U228" s="47"/>
      <c r="V228" s="47" t="s">
        <v>150</v>
      </c>
      <c r="W228" s="47" t="str">
        <f t="shared" si="3"/>
        <v/>
      </c>
      <c r="X228" s="47" t="s">
        <v>349</v>
      </c>
      <c r="Y228" s="47" t="s">
        <v>349</v>
      </c>
      <c r="Z228" s="277">
        <v>45992</v>
      </c>
    </row>
    <row r="229" spans="1:26" x14ac:dyDescent="0.2">
      <c r="A229" s="265">
        <v>758</v>
      </c>
      <c r="B229" s="62" t="s">
        <v>837</v>
      </c>
      <c r="C229" s="63" t="s">
        <v>307</v>
      </c>
      <c r="D229" s="64">
        <v>45922</v>
      </c>
      <c r="E229" s="49" t="s">
        <v>838</v>
      </c>
      <c r="F229" s="63" t="s">
        <v>70</v>
      </c>
      <c r="G229" s="63" t="s">
        <v>122</v>
      </c>
      <c r="H229" s="63" t="s">
        <v>57</v>
      </c>
      <c r="I229" s="175" t="s">
        <v>263</v>
      </c>
      <c r="J229" s="63" t="s">
        <v>72</v>
      </c>
      <c r="K229" s="63"/>
      <c r="L229" s="63"/>
      <c r="M229" s="64"/>
      <c r="N229" s="63"/>
      <c r="O229" s="63"/>
      <c r="P229" s="64"/>
      <c r="Q229" s="66"/>
      <c r="R229" s="47"/>
      <c r="S229" s="47" t="s">
        <v>149</v>
      </c>
      <c r="T229" s="246">
        <v>1</v>
      </c>
      <c r="U229" s="47"/>
      <c r="V229" s="47" t="s">
        <v>150</v>
      </c>
      <c r="W229" s="47" t="str">
        <f t="shared" si="3"/>
        <v/>
      </c>
      <c r="X229" s="47" t="s">
        <v>349</v>
      </c>
      <c r="Y229" s="47" t="s">
        <v>1833</v>
      </c>
      <c r="Z229" s="277"/>
    </row>
    <row r="230" spans="1:26" x14ac:dyDescent="0.2">
      <c r="A230" s="265">
        <v>772</v>
      </c>
      <c r="B230" s="63" t="s">
        <v>839</v>
      </c>
      <c r="C230" s="63" t="s">
        <v>840</v>
      </c>
      <c r="D230" s="64">
        <v>45924</v>
      </c>
      <c r="E230" s="49" t="s">
        <v>841</v>
      </c>
      <c r="F230" s="63" t="s">
        <v>70</v>
      </c>
      <c r="G230" s="63" t="s">
        <v>120</v>
      </c>
      <c r="H230" s="63" t="s">
        <v>63</v>
      </c>
      <c r="I230" s="175" t="s">
        <v>244</v>
      </c>
      <c r="J230" s="63" t="s">
        <v>245</v>
      </c>
      <c r="K230" s="63"/>
      <c r="L230" s="63"/>
      <c r="M230" s="64"/>
      <c r="N230" s="63"/>
      <c r="O230" s="63"/>
      <c r="P230" s="64"/>
      <c r="Q230" s="66" t="s">
        <v>842</v>
      </c>
      <c r="R230" s="47"/>
      <c r="S230" s="47"/>
      <c r="T230" s="246">
        <v>0.2</v>
      </c>
      <c r="U230" s="47" t="s">
        <v>349</v>
      </c>
      <c r="V230" s="47" t="s">
        <v>150</v>
      </c>
      <c r="W230" s="47" t="str">
        <f t="shared" si="3"/>
        <v/>
      </c>
      <c r="X230" s="47" t="s">
        <v>349</v>
      </c>
      <c r="Y230" s="47" t="s">
        <v>1833</v>
      </c>
      <c r="Z230" s="277"/>
    </row>
    <row r="231" spans="1:26" x14ac:dyDescent="0.2">
      <c r="A231" s="265">
        <v>773</v>
      </c>
      <c r="B231" s="62" t="s">
        <v>843</v>
      </c>
      <c r="C231" s="63" t="s">
        <v>750</v>
      </c>
      <c r="D231" s="64">
        <v>45929</v>
      </c>
      <c r="E231" s="49" t="s">
        <v>313</v>
      </c>
      <c r="F231" s="63" t="s">
        <v>70</v>
      </c>
      <c r="G231" s="63" t="s">
        <v>120</v>
      </c>
      <c r="H231" s="63" t="s">
        <v>46</v>
      </c>
      <c r="I231" s="175" t="s">
        <v>170</v>
      </c>
      <c r="J231" s="63" t="s">
        <v>158</v>
      </c>
      <c r="K231" s="63"/>
      <c r="L231" s="63"/>
      <c r="M231" s="64"/>
      <c r="N231" s="63"/>
      <c r="O231" s="63"/>
      <c r="P231" s="64"/>
      <c r="Q231" s="66" t="s">
        <v>844</v>
      </c>
      <c r="R231" s="47"/>
      <c r="S231" s="47" t="s">
        <v>149</v>
      </c>
      <c r="T231" s="246">
        <v>1</v>
      </c>
      <c r="U231" s="47"/>
      <c r="V231" s="47" t="s">
        <v>150</v>
      </c>
      <c r="W231" s="47" t="str">
        <f t="shared" si="3"/>
        <v/>
      </c>
      <c r="X231" s="47" t="s">
        <v>349</v>
      </c>
      <c r="Y231" s="47" t="s">
        <v>349</v>
      </c>
      <c r="Z231" s="277">
        <v>45992</v>
      </c>
    </row>
    <row r="232" spans="1:26" x14ac:dyDescent="0.2">
      <c r="A232" s="265">
        <v>783</v>
      </c>
      <c r="B232" s="62" t="s">
        <v>845</v>
      </c>
      <c r="C232" s="63" t="s">
        <v>846</v>
      </c>
      <c r="D232" s="64">
        <v>45932</v>
      </c>
      <c r="E232" s="49" t="s">
        <v>372</v>
      </c>
      <c r="F232" s="63" t="s">
        <v>70</v>
      </c>
      <c r="G232" s="63" t="s">
        <v>120</v>
      </c>
      <c r="H232" s="63" t="s">
        <v>46</v>
      </c>
      <c r="I232" s="175" t="s">
        <v>170</v>
      </c>
      <c r="J232" s="63" t="s">
        <v>158</v>
      </c>
      <c r="K232" s="63"/>
      <c r="L232" s="63"/>
      <c r="M232" s="64"/>
      <c r="N232" s="63"/>
      <c r="O232" s="63"/>
      <c r="P232" s="64"/>
      <c r="Q232" s="66" t="s">
        <v>847</v>
      </c>
      <c r="R232" s="47"/>
      <c r="S232" s="47" t="s">
        <v>149</v>
      </c>
      <c r="T232" s="246">
        <v>1</v>
      </c>
      <c r="U232" s="47"/>
      <c r="V232" s="47" t="s">
        <v>195</v>
      </c>
      <c r="W232" s="47" t="str">
        <f t="shared" si="3"/>
        <v/>
      </c>
      <c r="X232" s="47" t="s">
        <v>349</v>
      </c>
      <c r="Y232" s="47" t="s">
        <v>349</v>
      </c>
      <c r="Z232" s="277">
        <v>45992</v>
      </c>
    </row>
    <row r="233" spans="1:26" x14ac:dyDescent="0.2">
      <c r="A233" s="265">
        <v>784</v>
      </c>
      <c r="B233" s="62" t="s">
        <v>848</v>
      </c>
      <c r="C233" s="63" t="s">
        <v>849</v>
      </c>
      <c r="D233" s="64">
        <v>45936</v>
      </c>
      <c r="E233" s="49" t="s">
        <v>206</v>
      </c>
      <c r="F233" s="63" t="s">
        <v>72</v>
      </c>
      <c r="G233" s="63" t="s">
        <v>122</v>
      </c>
      <c r="H233" s="63" t="s">
        <v>57</v>
      </c>
      <c r="I233" s="175" t="s">
        <v>162</v>
      </c>
      <c r="J233" s="63" t="s">
        <v>163</v>
      </c>
      <c r="K233" s="63"/>
      <c r="L233" s="63"/>
      <c r="M233" s="64"/>
      <c r="N233" s="63"/>
      <c r="O233" s="63"/>
      <c r="P233" s="64"/>
      <c r="Q233" s="66" t="s">
        <v>850</v>
      </c>
      <c r="R233" s="47"/>
      <c r="S233" s="47" t="s">
        <v>149</v>
      </c>
      <c r="T233" s="246">
        <v>1</v>
      </c>
      <c r="U233" s="47"/>
      <c r="V233" s="47" t="s">
        <v>150</v>
      </c>
      <c r="W233" s="47" t="str">
        <f t="shared" si="3"/>
        <v/>
      </c>
      <c r="X233" s="47" t="s">
        <v>349</v>
      </c>
      <c r="Y233" s="47" t="s">
        <v>1833</v>
      </c>
      <c r="Z233" s="277"/>
    </row>
    <row r="234" spans="1:26" x14ac:dyDescent="0.2">
      <c r="A234" s="265">
        <v>795</v>
      </c>
      <c r="B234" s="63" t="s">
        <v>851</v>
      </c>
      <c r="C234" s="62" t="s">
        <v>852</v>
      </c>
      <c r="D234" s="64">
        <v>45943</v>
      </c>
      <c r="E234" s="49" t="s">
        <v>853</v>
      </c>
      <c r="F234" s="63" t="s">
        <v>70</v>
      </c>
      <c r="G234" s="63" t="s">
        <v>120</v>
      </c>
      <c r="H234" s="63" t="s">
        <v>854</v>
      </c>
      <c r="I234" s="175" t="s">
        <v>423</v>
      </c>
      <c r="J234" s="63" t="s">
        <v>72</v>
      </c>
      <c r="K234" s="63"/>
      <c r="L234" s="63"/>
      <c r="M234" s="64"/>
      <c r="N234" s="63"/>
      <c r="O234" s="63"/>
      <c r="P234" s="64"/>
      <c r="Q234" s="66" t="s">
        <v>855</v>
      </c>
      <c r="R234" s="47"/>
      <c r="S234" s="47" t="s">
        <v>149</v>
      </c>
      <c r="T234" s="246">
        <v>1</v>
      </c>
      <c r="U234" s="47" t="s">
        <v>349</v>
      </c>
      <c r="V234" s="47" t="s">
        <v>150</v>
      </c>
      <c r="W234" s="47" t="str">
        <f t="shared" si="3"/>
        <v/>
      </c>
      <c r="X234" s="47" t="s">
        <v>1833</v>
      </c>
      <c r="Y234" s="47" t="s">
        <v>1833</v>
      </c>
      <c r="Z234" s="277" t="s">
        <v>1834</v>
      </c>
    </row>
    <row r="235" spans="1:26" x14ac:dyDescent="0.2">
      <c r="A235" s="265">
        <v>792</v>
      </c>
      <c r="B235" s="49" t="s">
        <v>856</v>
      </c>
      <c r="C235" s="63" t="s">
        <v>857</v>
      </c>
      <c r="D235" s="64">
        <v>45943</v>
      </c>
      <c r="E235" s="49" t="s">
        <v>318</v>
      </c>
      <c r="F235" s="63" t="s">
        <v>70</v>
      </c>
      <c r="G235" s="63" t="s">
        <v>122</v>
      </c>
      <c r="H235" s="63" t="s">
        <v>854</v>
      </c>
      <c r="I235" s="175" t="s">
        <v>423</v>
      </c>
      <c r="J235" s="63" t="s">
        <v>72</v>
      </c>
      <c r="K235" s="63"/>
      <c r="L235" s="63"/>
      <c r="M235" s="64"/>
      <c r="N235" s="63"/>
      <c r="O235" s="63"/>
      <c r="P235" s="64"/>
      <c r="Q235" s="66" t="s">
        <v>855</v>
      </c>
      <c r="R235" s="139">
        <v>45969</v>
      </c>
      <c r="S235" s="47" t="s">
        <v>149</v>
      </c>
      <c r="T235" s="246">
        <v>1</v>
      </c>
      <c r="U235" s="47" t="s">
        <v>349</v>
      </c>
      <c r="V235" s="47" t="e">
        <v>#N/A</v>
      </c>
      <c r="W235" s="47" t="str">
        <f t="shared" si="3"/>
        <v/>
      </c>
      <c r="X235" s="47" t="s">
        <v>1833</v>
      </c>
      <c r="Y235" s="47" t="s">
        <v>1833</v>
      </c>
      <c r="Z235" s="277" t="s">
        <v>1834</v>
      </c>
    </row>
    <row r="236" spans="1:26" x14ac:dyDescent="0.2">
      <c r="A236" s="265">
        <v>794</v>
      </c>
      <c r="B236" s="63" t="s">
        <v>858</v>
      </c>
      <c r="C236" s="62" t="s">
        <v>548</v>
      </c>
      <c r="D236" s="64">
        <v>45943</v>
      </c>
      <c r="E236" s="49" t="s">
        <v>169</v>
      </c>
      <c r="F236" s="63" t="s">
        <v>70</v>
      </c>
      <c r="G236" s="63" t="s">
        <v>120</v>
      </c>
      <c r="H236" s="63" t="s">
        <v>854</v>
      </c>
      <c r="I236" s="175" t="s">
        <v>423</v>
      </c>
      <c r="J236" s="63" t="s">
        <v>72</v>
      </c>
      <c r="K236" s="63"/>
      <c r="L236" s="63"/>
      <c r="M236" s="64"/>
      <c r="N236" s="63"/>
      <c r="O236" s="63"/>
      <c r="P236" s="64"/>
      <c r="Q236" s="66" t="s">
        <v>855</v>
      </c>
      <c r="R236" s="47"/>
      <c r="S236" s="47" t="s">
        <v>149</v>
      </c>
      <c r="T236" s="246">
        <v>1</v>
      </c>
      <c r="U236" s="47" t="s">
        <v>349</v>
      </c>
      <c r="V236" s="47" t="s">
        <v>150</v>
      </c>
      <c r="W236" s="47" t="str">
        <f t="shared" si="3"/>
        <v/>
      </c>
      <c r="X236" s="47" t="s">
        <v>1833</v>
      </c>
      <c r="Y236" s="47" t="s">
        <v>1833</v>
      </c>
      <c r="Z236" s="277" t="s">
        <v>1834</v>
      </c>
    </row>
    <row r="237" spans="1:26" x14ac:dyDescent="0.2">
      <c r="A237" s="265">
        <v>791</v>
      </c>
      <c r="B237" s="63" t="s">
        <v>859</v>
      </c>
      <c r="C237" s="62" t="s">
        <v>355</v>
      </c>
      <c r="D237" s="64">
        <v>45943</v>
      </c>
      <c r="E237" s="49" t="s">
        <v>318</v>
      </c>
      <c r="F237" s="63" t="s">
        <v>70</v>
      </c>
      <c r="G237" s="63" t="s">
        <v>122</v>
      </c>
      <c r="H237" s="63" t="s">
        <v>854</v>
      </c>
      <c r="I237" s="175" t="s">
        <v>423</v>
      </c>
      <c r="J237" s="63" t="s">
        <v>72</v>
      </c>
      <c r="K237" s="63"/>
      <c r="L237" s="63"/>
      <c r="M237" s="64"/>
      <c r="N237" s="63"/>
      <c r="O237" s="63"/>
      <c r="P237" s="64"/>
      <c r="Q237" s="66" t="s">
        <v>855</v>
      </c>
      <c r="R237" s="47"/>
      <c r="S237" s="47" t="s">
        <v>149</v>
      </c>
      <c r="T237" s="246">
        <v>1</v>
      </c>
      <c r="U237" s="47" t="s">
        <v>349</v>
      </c>
      <c r="V237" s="47" t="s">
        <v>150</v>
      </c>
      <c r="W237" s="47" t="str">
        <f t="shared" si="3"/>
        <v/>
      </c>
      <c r="X237" s="47" t="s">
        <v>1833</v>
      </c>
      <c r="Y237" s="47" t="s">
        <v>1833</v>
      </c>
      <c r="Z237" s="277" t="s">
        <v>1834</v>
      </c>
    </row>
    <row r="238" spans="1:26" x14ac:dyDescent="0.2">
      <c r="A238" s="265">
        <v>796</v>
      </c>
      <c r="B238" s="62" t="s">
        <v>861</v>
      </c>
      <c r="C238" s="63" t="s">
        <v>860</v>
      </c>
      <c r="D238" s="64">
        <v>45943</v>
      </c>
      <c r="E238" s="49" t="s">
        <v>169</v>
      </c>
      <c r="F238" s="63" t="s">
        <v>70</v>
      </c>
      <c r="G238" s="63" t="s">
        <v>120</v>
      </c>
      <c r="H238" s="63" t="s">
        <v>46</v>
      </c>
      <c r="I238" s="175" t="s">
        <v>170</v>
      </c>
      <c r="J238" s="63" t="s">
        <v>158</v>
      </c>
      <c r="K238" s="63"/>
      <c r="L238" s="63"/>
      <c r="M238" s="64"/>
      <c r="N238" s="63"/>
      <c r="O238" s="63"/>
      <c r="P238" s="64"/>
      <c r="Q238" s="66"/>
      <c r="R238" s="47"/>
      <c r="S238" s="47" t="s">
        <v>149</v>
      </c>
      <c r="T238" s="246">
        <v>1</v>
      </c>
      <c r="U238" s="47"/>
      <c r="V238" s="47" t="s">
        <v>195</v>
      </c>
      <c r="W238" s="47" t="str">
        <f t="shared" si="3"/>
        <v/>
      </c>
      <c r="X238" s="47" t="s">
        <v>349</v>
      </c>
      <c r="Y238" s="47" t="s">
        <v>349</v>
      </c>
      <c r="Z238" s="277">
        <v>45992</v>
      </c>
    </row>
    <row r="239" spans="1:26" x14ac:dyDescent="0.2">
      <c r="A239" s="265">
        <v>793</v>
      </c>
      <c r="B239" s="63" t="s">
        <v>862</v>
      </c>
      <c r="C239" s="62" t="s">
        <v>307</v>
      </c>
      <c r="D239" s="64">
        <v>45943</v>
      </c>
      <c r="E239" s="49" t="s">
        <v>169</v>
      </c>
      <c r="F239" s="63" t="s">
        <v>70</v>
      </c>
      <c r="G239" s="63" t="s">
        <v>120</v>
      </c>
      <c r="H239" s="63" t="s">
        <v>854</v>
      </c>
      <c r="I239" s="175" t="s">
        <v>423</v>
      </c>
      <c r="J239" s="63" t="s">
        <v>72</v>
      </c>
      <c r="K239" s="63"/>
      <c r="L239" s="63"/>
      <c r="M239" s="64"/>
      <c r="N239" s="63"/>
      <c r="O239" s="63"/>
      <c r="P239" s="64"/>
      <c r="Q239" s="66" t="s">
        <v>855</v>
      </c>
      <c r="R239" s="47"/>
      <c r="S239" s="47" t="s">
        <v>149</v>
      </c>
      <c r="T239" s="246">
        <v>1</v>
      </c>
      <c r="U239" s="47" t="s">
        <v>349</v>
      </c>
      <c r="V239" s="47" t="s">
        <v>150</v>
      </c>
      <c r="W239" s="47" t="str">
        <f t="shared" si="3"/>
        <v/>
      </c>
      <c r="X239" s="47" t="s">
        <v>1833</v>
      </c>
      <c r="Y239" s="47" t="s">
        <v>1833</v>
      </c>
      <c r="Z239" s="277" t="s">
        <v>1834</v>
      </c>
    </row>
    <row r="240" spans="1:26" x14ac:dyDescent="0.2">
      <c r="A240" s="265">
        <v>797</v>
      </c>
      <c r="B240" s="62" t="s">
        <v>863</v>
      </c>
      <c r="C240" s="63" t="s">
        <v>864</v>
      </c>
      <c r="D240" s="267">
        <v>45950</v>
      </c>
      <c r="E240" s="51" t="s">
        <v>62</v>
      </c>
      <c r="F240" s="63" t="s">
        <v>72</v>
      </c>
      <c r="G240" s="63" t="s">
        <v>365</v>
      </c>
      <c r="H240" s="63" t="s">
        <v>62</v>
      </c>
      <c r="I240" s="175" t="s">
        <v>276</v>
      </c>
      <c r="J240" s="63"/>
      <c r="K240" s="63"/>
      <c r="L240" s="63"/>
      <c r="M240" s="64"/>
      <c r="N240" s="63"/>
      <c r="O240" s="63"/>
      <c r="P240" s="64"/>
      <c r="Q240" s="66"/>
      <c r="R240" s="47"/>
      <c r="S240" s="47" t="s">
        <v>213</v>
      </c>
      <c r="T240" s="246"/>
      <c r="U240" s="47" t="s">
        <v>349</v>
      </c>
      <c r="V240" s="47" t="s">
        <v>150</v>
      </c>
      <c r="W240" s="47" t="str">
        <f t="shared" si="3"/>
        <v/>
      </c>
      <c r="X240" s="47" t="s">
        <v>349</v>
      </c>
      <c r="Y240" s="47" t="s">
        <v>1833</v>
      </c>
      <c r="Z240" s="277"/>
    </row>
    <row r="241" spans="1:26" x14ac:dyDescent="0.2">
      <c r="A241" s="265">
        <v>788</v>
      </c>
      <c r="B241" s="62" t="s">
        <v>548</v>
      </c>
      <c r="C241" s="62" t="s">
        <v>865</v>
      </c>
      <c r="D241" s="64">
        <v>45958</v>
      </c>
      <c r="E241" s="49" t="s">
        <v>287</v>
      </c>
      <c r="F241" s="63" t="s">
        <v>70</v>
      </c>
      <c r="G241" s="63" t="s">
        <v>272</v>
      </c>
      <c r="H241" s="63" t="s">
        <v>56</v>
      </c>
      <c r="I241" s="175" t="s">
        <v>288</v>
      </c>
      <c r="J241" s="63"/>
      <c r="K241" s="63"/>
      <c r="L241" s="63"/>
      <c r="M241" s="64"/>
      <c r="N241" s="63"/>
      <c r="O241" s="63"/>
      <c r="P241" s="64"/>
      <c r="Q241" s="66"/>
      <c r="R241" s="47"/>
      <c r="S241" s="47" t="s">
        <v>149</v>
      </c>
      <c r="T241" s="246">
        <v>1</v>
      </c>
      <c r="U241" s="47"/>
      <c r="V241" s="47" t="s">
        <v>150</v>
      </c>
      <c r="W241" s="47" t="str">
        <f t="shared" si="3"/>
        <v/>
      </c>
      <c r="X241" s="47" t="s">
        <v>1833</v>
      </c>
      <c r="Y241" s="47" t="s">
        <v>1833</v>
      </c>
      <c r="Z241" s="277">
        <v>45870</v>
      </c>
    </row>
    <row r="242" spans="1:26" x14ac:dyDescent="0.2">
      <c r="A242" s="264">
        <v>798</v>
      </c>
      <c r="B242" s="48" t="s">
        <v>863</v>
      </c>
      <c r="C242" s="49" t="s">
        <v>866</v>
      </c>
      <c r="D242" s="50">
        <v>45958</v>
      </c>
      <c r="E242" s="51" t="s">
        <v>737</v>
      </c>
      <c r="F242" s="49" t="s">
        <v>70</v>
      </c>
      <c r="G242" s="49" t="s">
        <v>106</v>
      </c>
      <c r="H242" s="49" t="s">
        <v>106</v>
      </c>
      <c r="I242" s="177" t="s">
        <v>147</v>
      </c>
      <c r="J242" s="49" t="s">
        <v>106</v>
      </c>
      <c r="K242" s="49"/>
      <c r="L242" s="49"/>
      <c r="M242" s="50"/>
      <c r="N242" s="49"/>
      <c r="O242" s="49"/>
      <c r="P242" s="50"/>
      <c r="Q242" s="52" t="s">
        <v>867</v>
      </c>
      <c r="R242" s="47"/>
      <c r="S242" s="47"/>
      <c r="T242" s="246">
        <v>1</v>
      </c>
      <c r="U242" s="47" t="s">
        <v>349</v>
      </c>
      <c r="V242" s="47" t="s">
        <v>150</v>
      </c>
      <c r="X242" s="47" t="s">
        <v>1833</v>
      </c>
      <c r="Y242" s="47" t="s">
        <v>1833</v>
      </c>
      <c r="Z242" s="277" t="s">
        <v>1834</v>
      </c>
    </row>
    <row r="243" spans="1:26" x14ac:dyDescent="0.2">
      <c r="A243" s="264">
        <v>774</v>
      </c>
      <c r="B243" s="49" t="s">
        <v>868</v>
      </c>
      <c r="C243" s="48" t="s">
        <v>662</v>
      </c>
      <c r="D243" s="50">
        <v>45962</v>
      </c>
      <c r="E243" s="49" t="s">
        <v>869</v>
      </c>
      <c r="F243" s="49" t="s">
        <v>70</v>
      </c>
      <c r="G243" s="49" t="s">
        <v>203</v>
      </c>
      <c r="H243" s="49" t="s">
        <v>46</v>
      </c>
      <c r="I243" s="177" t="s">
        <v>157</v>
      </c>
      <c r="J243" s="49" t="s">
        <v>203</v>
      </c>
      <c r="K243" s="49"/>
      <c r="L243" s="49"/>
      <c r="M243" s="50"/>
      <c r="N243" s="49"/>
      <c r="O243" s="49"/>
      <c r="P243" s="50"/>
      <c r="Q243" s="52" t="s">
        <v>870</v>
      </c>
      <c r="R243" s="47"/>
      <c r="S243" s="47" t="s">
        <v>149</v>
      </c>
      <c r="T243" s="246">
        <v>1</v>
      </c>
      <c r="U243" s="47"/>
      <c r="V243" s="47" t="s">
        <v>150</v>
      </c>
      <c r="X243" s="47" t="s">
        <v>349</v>
      </c>
      <c r="Y243" s="47" t="s">
        <v>349</v>
      </c>
      <c r="Z243" s="277">
        <v>45992</v>
      </c>
    </row>
    <row r="244" spans="1:26" x14ac:dyDescent="0.2">
      <c r="A244" s="264">
        <v>775</v>
      </c>
      <c r="B244" s="49" t="s">
        <v>871</v>
      </c>
      <c r="C244" s="48" t="s">
        <v>872</v>
      </c>
      <c r="D244" s="50">
        <v>45962</v>
      </c>
      <c r="E244" s="49" t="s">
        <v>708</v>
      </c>
      <c r="F244" s="49" t="s">
        <v>70</v>
      </c>
      <c r="G244" s="49" t="s">
        <v>120</v>
      </c>
      <c r="H244" s="49" t="s">
        <v>46</v>
      </c>
      <c r="I244" s="177" t="s">
        <v>873</v>
      </c>
      <c r="J244" s="49" t="s">
        <v>874</v>
      </c>
      <c r="K244" s="49"/>
      <c r="L244" s="49"/>
      <c r="M244" s="50"/>
      <c r="N244" s="49"/>
      <c r="O244" s="49"/>
      <c r="P244" s="50"/>
      <c r="Q244" s="52" t="s">
        <v>870</v>
      </c>
      <c r="R244" s="47"/>
      <c r="S244" s="47" t="s">
        <v>149</v>
      </c>
      <c r="T244" s="246">
        <v>1</v>
      </c>
      <c r="U244" s="47"/>
      <c r="V244" s="47" t="s">
        <v>150</v>
      </c>
      <c r="X244" s="47" t="s">
        <v>349</v>
      </c>
      <c r="Y244" s="47" t="s">
        <v>349</v>
      </c>
      <c r="Z244" s="277">
        <v>45992</v>
      </c>
    </row>
    <row r="245" spans="1:26" x14ac:dyDescent="0.2">
      <c r="A245" s="264">
        <v>776</v>
      </c>
      <c r="B245" s="49" t="s">
        <v>875</v>
      </c>
      <c r="C245" s="258" t="s">
        <v>876</v>
      </c>
      <c r="D245" s="50">
        <v>45962</v>
      </c>
      <c r="E245" s="49" t="s">
        <v>169</v>
      </c>
      <c r="F245" s="49" t="s">
        <v>70</v>
      </c>
      <c r="G245" s="49" t="s">
        <v>120</v>
      </c>
      <c r="H245" s="49" t="s">
        <v>46</v>
      </c>
      <c r="I245" s="177" t="s">
        <v>873</v>
      </c>
      <c r="J245" s="49" t="s">
        <v>203</v>
      </c>
      <c r="K245" s="49"/>
      <c r="L245" s="49"/>
      <c r="M245" s="50"/>
      <c r="N245" s="49"/>
      <c r="O245" s="49"/>
      <c r="P245" s="50"/>
      <c r="Q245" s="52" t="s">
        <v>870</v>
      </c>
      <c r="R245" s="47"/>
      <c r="S245" s="47" t="s">
        <v>149</v>
      </c>
      <c r="T245" s="246">
        <v>1</v>
      </c>
      <c r="U245" s="47"/>
      <c r="V245" s="47" t="s">
        <v>150</v>
      </c>
      <c r="X245" s="47" t="s">
        <v>349</v>
      </c>
      <c r="Y245" s="47" t="s">
        <v>349</v>
      </c>
      <c r="Z245" s="277">
        <v>45992</v>
      </c>
    </row>
    <row r="246" spans="1:26" x14ac:dyDescent="0.2">
      <c r="A246" s="264">
        <v>782</v>
      </c>
      <c r="B246" s="49" t="s">
        <v>877</v>
      </c>
      <c r="C246" s="48" t="s">
        <v>878</v>
      </c>
      <c r="D246" s="50">
        <v>45964</v>
      </c>
      <c r="E246" s="49" t="s">
        <v>879</v>
      </c>
      <c r="F246" s="49" t="s">
        <v>70</v>
      </c>
      <c r="G246" s="49" t="s">
        <v>120</v>
      </c>
      <c r="H246" s="49" t="s">
        <v>46</v>
      </c>
      <c r="I246" s="177" t="s">
        <v>157</v>
      </c>
      <c r="J246" s="49" t="s">
        <v>203</v>
      </c>
      <c r="K246" s="49"/>
      <c r="L246" s="49"/>
      <c r="M246" s="50"/>
      <c r="N246" s="49"/>
      <c r="O246" s="49"/>
      <c r="P246" s="50"/>
      <c r="Q246" s="52" t="s">
        <v>870</v>
      </c>
      <c r="R246" s="47"/>
      <c r="S246" s="47" t="s">
        <v>149</v>
      </c>
      <c r="T246" s="246">
        <v>1</v>
      </c>
      <c r="U246" s="47"/>
      <c r="V246" s="47" t="s">
        <v>150</v>
      </c>
      <c r="X246" s="47" t="s">
        <v>349</v>
      </c>
      <c r="Y246" s="47" t="s">
        <v>349</v>
      </c>
      <c r="Z246" s="277">
        <v>45992</v>
      </c>
    </row>
    <row r="247" spans="1:26" x14ac:dyDescent="0.2">
      <c r="A247" s="268" t="s">
        <v>880</v>
      </c>
      <c r="B247" s="49" t="s">
        <v>881</v>
      </c>
      <c r="C247" s="48" t="s">
        <v>882</v>
      </c>
      <c r="D247" s="50">
        <v>45965</v>
      </c>
      <c r="E247" s="49" t="s">
        <v>883</v>
      </c>
      <c r="F247" s="49" t="s">
        <v>70</v>
      </c>
      <c r="G247" s="49" t="s">
        <v>124</v>
      </c>
      <c r="H247" s="49" t="s">
        <v>61</v>
      </c>
      <c r="I247" s="177" t="s">
        <v>174</v>
      </c>
      <c r="J247" s="49"/>
      <c r="K247" s="49"/>
      <c r="L247" s="49"/>
      <c r="M247" s="50"/>
      <c r="N247" s="49"/>
      <c r="O247" s="49"/>
      <c r="P247" s="50"/>
      <c r="Q247" s="52" t="s">
        <v>884</v>
      </c>
      <c r="R247" s="47"/>
      <c r="S247" s="47" t="s">
        <v>149</v>
      </c>
      <c r="T247" s="246">
        <v>1</v>
      </c>
      <c r="U247" s="47"/>
      <c r="V247" s="47" t="s">
        <v>150</v>
      </c>
      <c r="X247" s="47" t="s">
        <v>349</v>
      </c>
      <c r="Y247" s="47" t="s">
        <v>1833</v>
      </c>
      <c r="Z247" s="277"/>
    </row>
    <row r="248" spans="1:26" x14ac:dyDescent="0.2">
      <c r="A248" s="264" t="s">
        <v>885</v>
      </c>
      <c r="B248" s="49" t="s">
        <v>886</v>
      </c>
      <c r="C248" s="48" t="s">
        <v>887</v>
      </c>
      <c r="D248" s="50">
        <v>45965</v>
      </c>
      <c r="E248" s="51" t="s">
        <v>206</v>
      </c>
      <c r="F248" s="49" t="s">
        <v>70</v>
      </c>
      <c r="G248" s="49" t="s">
        <v>120</v>
      </c>
      <c r="H248" s="49" t="s">
        <v>854</v>
      </c>
      <c r="I248" s="177" t="s">
        <v>423</v>
      </c>
      <c r="J248" s="49" t="s">
        <v>72</v>
      </c>
      <c r="K248" s="49"/>
      <c r="L248" s="49"/>
      <c r="M248" s="50"/>
      <c r="N248" s="49"/>
      <c r="O248" s="49"/>
      <c r="P248" s="50"/>
      <c r="Q248" s="52" t="s">
        <v>888</v>
      </c>
      <c r="R248" s="47"/>
      <c r="S248" s="47" t="s">
        <v>149</v>
      </c>
      <c r="T248" s="246">
        <v>1</v>
      </c>
      <c r="U248" s="47" t="s">
        <v>349</v>
      </c>
      <c r="V248" s="47"/>
      <c r="X248" s="47" t="s">
        <v>1833</v>
      </c>
      <c r="Y248" s="47" t="s">
        <v>1833</v>
      </c>
      <c r="Z248" s="277" t="s">
        <v>1834</v>
      </c>
    </row>
    <row r="249" spans="1:26" x14ac:dyDescent="0.2">
      <c r="A249" s="268">
        <v>785</v>
      </c>
      <c r="B249" s="49" t="s">
        <v>889</v>
      </c>
      <c r="C249" s="48" t="s">
        <v>890</v>
      </c>
      <c r="D249" s="50">
        <v>45971</v>
      </c>
      <c r="E249" s="49" t="s">
        <v>823</v>
      </c>
      <c r="F249" s="49" t="s">
        <v>70</v>
      </c>
      <c r="G249" s="49" t="s">
        <v>120</v>
      </c>
      <c r="H249" s="49" t="s">
        <v>898</v>
      </c>
      <c r="I249" s="177" t="s">
        <v>824</v>
      </c>
      <c r="J249" s="49"/>
      <c r="K249" s="49"/>
      <c r="L249" s="49"/>
      <c r="M249" s="50"/>
      <c r="N249" s="49"/>
      <c r="O249" s="49"/>
      <c r="P249" s="50"/>
      <c r="Q249" s="52" t="s">
        <v>891</v>
      </c>
      <c r="R249" s="47"/>
      <c r="S249" s="47" t="s">
        <v>149</v>
      </c>
      <c r="T249" s="246"/>
      <c r="U249" s="47" t="s">
        <v>349</v>
      </c>
      <c r="V249" s="47" t="s">
        <v>195</v>
      </c>
      <c r="X249" s="47" t="s">
        <v>349</v>
      </c>
      <c r="Y249" s="47" t="s">
        <v>349</v>
      </c>
      <c r="Z249" s="277">
        <v>45992</v>
      </c>
    </row>
    <row r="250" spans="1:26" x14ac:dyDescent="0.2">
      <c r="A250" s="268">
        <v>786</v>
      </c>
      <c r="B250" s="49" t="s">
        <v>892</v>
      </c>
      <c r="C250" s="48" t="s">
        <v>893</v>
      </c>
      <c r="D250" s="50">
        <v>45971</v>
      </c>
      <c r="E250" s="49" t="s">
        <v>823</v>
      </c>
      <c r="F250" s="49" t="s">
        <v>70</v>
      </c>
      <c r="G250" s="49" t="s">
        <v>120</v>
      </c>
      <c r="H250" s="49" t="s">
        <v>898</v>
      </c>
      <c r="I250" s="177" t="s">
        <v>824</v>
      </c>
      <c r="J250" s="49"/>
      <c r="K250" s="49"/>
      <c r="L250" s="49"/>
      <c r="M250" s="50"/>
      <c r="N250" s="49"/>
      <c r="O250" s="49"/>
      <c r="P250" s="50"/>
      <c r="Q250" s="52" t="s">
        <v>891</v>
      </c>
      <c r="R250" s="47"/>
      <c r="S250" s="47" t="s">
        <v>149</v>
      </c>
      <c r="T250" s="246"/>
      <c r="U250" s="47" t="s">
        <v>349</v>
      </c>
      <c r="V250" s="47" t="s">
        <v>195</v>
      </c>
      <c r="X250" s="47" t="s">
        <v>349</v>
      </c>
      <c r="Y250" s="47" t="s">
        <v>349</v>
      </c>
      <c r="Z250" s="277">
        <v>45992</v>
      </c>
    </row>
    <row r="251" spans="1:26" x14ac:dyDescent="0.2">
      <c r="A251" s="268" t="s">
        <v>894</v>
      </c>
      <c r="B251" s="48" t="s">
        <v>895</v>
      </c>
      <c r="C251" s="49" t="s">
        <v>896</v>
      </c>
      <c r="D251" s="50">
        <v>45971</v>
      </c>
      <c r="E251" s="49" t="s">
        <v>897</v>
      </c>
      <c r="F251" s="49" t="s">
        <v>70</v>
      </c>
      <c r="G251" s="49" t="s">
        <v>120</v>
      </c>
      <c r="H251" s="49" t="s">
        <v>898</v>
      </c>
      <c r="I251" s="177" t="s">
        <v>824</v>
      </c>
      <c r="J251" s="49"/>
      <c r="K251" s="49"/>
      <c r="L251" s="49"/>
      <c r="M251" s="50"/>
      <c r="N251" s="49"/>
      <c r="O251" s="49"/>
      <c r="P251" s="50"/>
      <c r="Q251" s="52" t="s">
        <v>1813</v>
      </c>
      <c r="R251" s="47"/>
      <c r="S251" s="47"/>
      <c r="T251" s="246"/>
      <c r="U251" s="47" t="s">
        <v>349</v>
      </c>
      <c r="V251" s="47" t="s">
        <v>150</v>
      </c>
      <c r="X251" s="47" t="s">
        <v>349</v>
      </c>
      <c r="Y251" s="47" t="s">
        <v>349</v>
      </c>
      <c r="Z251" s="277">
        <v>45992</v>
      </c>
    </row>
    <row r="252" spans="1:26" x14ac:dyDescent="0.2">
      <c r="A252" s="264">
        <v>787</v>
      </c>
      <c r="B252" s="48" t="s">
        <v>899</v>
      </c>
      <c r="C252" s="49" t="s">
        <v>900</v>
      </c>
      <c r="D252" s="50">
        <v>45971</v>
      </c>
      <c r="E252" s="49" t="s">
        <v>823</v>
      </c>
      <c r="F252" s="49" t="s">
        <v>70</v>
      </c>
      <c r="G252" s="49" t="s">
        <v>120</v>
      </c>
      <c r="H252" s="49" t="s">
        <v>898</v>
      </c>
      <c r="I252" s="177" t="s">
        <v>824</v>
      </c>
      <c r="J252" s="49"/>
      <c r="K252" s="49"/>
      <c r="L252" s="49"/>
      <c r="M252" s="50"/>
      <c r="N252" s="49"/>
      <c r="O252" s="49"/>
      <c r="P252" s="50"/>
      <c r="Q252" s="52" t="s">
        <v>891</v>
      </c>
      <c r="R252" s="47"/>
      <c r="S252" s="47" t="s">
        <v>149</v>
      </c>
      <c r="T252" s="246"/>
      <c r="U252" s="47" t="s">
        <v>349</v>
      </c>
      <c r="V252" s="47" t="s">
        <v>150</v>
      </c>
      <c r="X252" s="47" t="s">
        <v>349</v>
      </c>
      <c r="Y252" s="47" t="s">
        <v>349</v>
      </c>
      <c r="Z252" s="277">
        <v>45992</v>
      </c>
    </row>
    <row r="253" spans="1:26" x14ac:dyDescent="0.2">
      <c r="A253" s="264">
        <v>780</v>
      </c>
      <c r="B253" s="48" t="s">
        <v>901</v>
      </c>
      <c r="C253" s="49" t="s">
        <v>902</v>
      </c>
      <c r="D253" s="50">
        <v>45971</v>
      </c>
      <c r="E253" s="49" t="s">
        <v>118</v>
      </c>
      <c r="F253" s="49" t="s">
        <v>75</v>
      </c>
      <c r="G253" s="49" t="s">
        <v>118</v>
      </c>
      <c r="H253" s="49" t="s">
        <v>57</v>
      </c>
      <c r="I253" s="177" t="s">
        <v>595</v>
      </c>
      <c r="J253" s="49" t="s">
        <v>163</v>
      </c>
      <c r="K253" s="49"/>
      <c r="L253" s="49"/>
      <c r="M253" s="50"/>
      <c r="N253" s="49"/>
      <c r="O253" s="49"/>
      <c r="P253" s="50"/>
      <c r="Q253" s="52" t="s">
        <v>903</v>
      </c>
      <c r="R253" s="47"/>
      <c r="S253" s="47" t="s">
        <v>149</v>
      </c>
      <c r="T253" s="246">
        <v>1</v>
      </c>
      <c r="U253" s="47"/>
      <c r="V253" s="47" t="s">
        <v>150</v>
      </c>
      <c r="X253" s="47" t="s">
        <v>349</v>
      </c>
      <c r="Y253" s="47" t="s">
        <v>1833</v>
      </c>
      <c r="Z253" s="277"/>
    </row>
    <row r="254" spans="1:26" x14ac:dyDescent="0.2">
      <c r="A254" s="268" t="s">
        <v>904</v>
      </c>
      <c r="B254" s="48" t="s">
        <v>905</v>
      </c>
      <c r="C254" s="49" t="s">
        <v>906</v>
      </c>
      <c r="D254" s="50">
        <v>45971</v>
      </c>
      <c r="E254" s="49" t="s">
        <v>907</v>
      </c>
      <c r="F254" s="49" t="s">
        <v>70</v>
      </c>
      <c r="G254" s="49" t="s">
        <v>120</v>
      </c>
      <c r="H254" s="49" t="s">
        <v>898</v>
      </c>
      <c r="I254" s="177" t="s">
        <v>824</v>
      </c>
      <c r="J254" s="49"/>
      <c r="K254" s="49"/>
      <c r="L254" s="49"/>
      <c r="M254" s="50"/>
      <c r="N254" s="49"/>
      <c r="O254" s="49"/>
      <c r="P254" s="50"/>
      <c r="Q254" s="52"/>
      <c r="R254" s="47"/>
      <c r="S254" s="47" t="s">
        <v>149</v>
      </c>
      <c r="T254" s="246"/>
      <c r="U254" s="47" t="s">
        <v>349</v>
      </c>
      <c r="V254" s="47" t="s">
        <v>150</v>
      </c>
      <c r="X254" s="47" t="s">
        <v>349</v>
      </c>
      <c r="Y254" s="47" t="s">
        <v>349</v>
      </c>
      <c r="Z254" s="277">
        <v>45992</v>
      </c>
    </row>
    <row r="255" spans="1:26" x14ac:dyDescent="0.2">
      <c r="A255" s="266" t="s">
        <v>908</v>
      </c>
      <c r="B255" s="62" t="s">
        <v>909</v>
      </c>
      <c r="C255" s="63" t="s">
        <v>910</v>
      </c>
      <c r="D255" s="50">
        <v>45971</v>
      </c>
      <c r="E255" s="49" t="s">
        <v>907</v>
      </c>
      <c r="F255" s="49" t="s">
        <v>70</v>
      </c>
      <c r="G255" s="49" t="s">
        <v>120</v>
      </c>
      <c r="H255" s="49" t="s">
        <v>898</v>
      </c>
      <c r="I255" s="177" t="s">
        <v>824</v>
      </c>
      <c r="J255" s="49"/>
      <c r="K255" s="63"/>
      <c r="L255" s="63"/>
      <c r="M255" s="64"/>
      <c r="N255" s="63"/>
      <c r="O255" s="63"/>
      <c r="P255" s="64"/>
      <c r="Q255" s="52"/>
      <c r="R255" s="47"/>
      <c r="S255" s="47" t="s">
        <v>149</v>
      </c>
      <c r="T255" s="246"/>
      <c r="U255" s="47" t="s">
        <v>349</v>
      </c>
      <c r="V255" s="47" t="s">
        <v>150</v>
      </c>
      <c r="X255" s="47" t="s">
        <v>349</v>
      </c>
      <c r="Y255" s="47" t="s">
        <v>349</v>
      </c>
      <c r="Z255" s="277">
        <v>45992</v>
      </c>
    </row>
    <row r="256" spans="1:26" x14ac:dyDescent="0.2">
      <c r="A256" s="268" t="s">
        <v>911</v>
      </c>
      <c r="B256" s="48" t="s">
        <v>912</v>
      </c>
      <c r="C256" s="49" t="s">
        <v>913</v>
      </c>
      <c r="D256" s="50">
        <v>45971</v>
      </c>
      <c r="E256" s="49" t="s">
        <v>907</v>
      </c>
      <c r="F256" s="49" t="s">
        <v>70</v>
      </c>
      <c r="G256" s="49" t="s">
        <v>120</v>
      </c>
      <c r="H256" s="49" t="s">
        <v>898</v>
      </c>
      <c r="I256" s="177" t="s">
        <v>824</v>
      </c>
      <c r="J256" s="49"/>
      <c r="K256" s="49"/>
      <c r="L256" s="49"/>
      <c r="M256" s="50"/>
      <c r="N256" s="49"/>
      <c r="O256" s="49"/>
      <c r="P256" s="50"/>
      <c r="Q256" s="52"/>
      <c r="R256" s="47"/>
      <c r="S256" s="47" t="s">
        <v>149</v>
      </c>
      <c r="T256" s="246"/>
      <c r="U256" s="47" t="s">
        <v>349</v>
      </c>
      <c r="V256" s="47" t="s">
        <v>150</v>
      </c>
      <c r="X256" s="47" t="s">
        <v>349</v>
      </c>
      <c r="Y256" s="47" t="s">
        <v>349</v>
      </c>
      <c r="Z256" s="277">
        <v>45992</v>
      </c>
    </row>
    <row r="257" spans="1:26" x14ac:dyDescent="0.2">
      <c r="A257" s="268" t="s">
        <v>914</v>
      </c>
      <c r="B257" s="48" t="s">
        <v>915</v>
      </c>
      <c r="C257" s="49" t="s">
        <v>916</v>
      </c>
      <c r="D257" s="50">
        <v>45971</v>
      </c>
      <c r="E257" s="49" t="s">
        <v>907</v>
      </c>
      <c r="F257" s="49" t="s">
        <v>70</v>
      </c>
      <c r="G257" s="49" t="s">
        <v>120</v>
      </c>
      <c r="H257" s="49" t="s">
        <v>898</v>
      </c>
      <c r="I257" s="177" t="s">
        <v>824</v>
      </c>
      <c r="J257" s="49"/>
      <c r="K257" s="49"/>
      <c r="L257" s="49"/>
      <c r="M257" s="50"/>
      <c r="N257" s="49"/>
      <c r="O257" s="49"/>
      <c r="P257" s="50"/>
      <c r="Q257" s="52"/>
      <c r="R257" s="47"/>
      <c r="S257" s="47" t="s">
        <v>149</v>
      </c>
      <c r="T257" s="246"/>
      <c r="U257" s="47" t="s">
        <v>349</v>
      </c>
      <c r="V257" s="47" t="s">
        <v>150</v>
      </c>
      <c r="X257" s="47" t="s">
        <v>349</v>
      </c>
      <c r="Y257" s="47" t="s">
        <v>349</v>
      </c>
      <c r="Z257" s="277">
        <v>45992</v>
      </c>
    </row>
    <row r="258" spans="1:26" x14ac:dyDescent="0.2">
      <c r="A258" s="268" t="s">
        <v>917</v>
      </c>
      <c r="B258" s="48" t="s">
        <v>918</v>
      </c>
      <c r="C258" s="49" t="s">
        <v>919</v>
      </c>
      <c r="D258" s="50">
        <v>45971</v>
      </c>
      <c r="E258" s="49" t="s">
        <v>907</v>
      </c>
      <c r="F258" s="49" t="s">
        <v>70</v>
      </c>
      <c r="G258" s="49" t="s">
        <v>120</v>
      </c>
      <c r="H258" s="49" t="s">
        <v>898</v>
      </c>
      <c r="I258" s="177" t="s">
        <v>824</v>
      </c>
      <c r="J258" s="49"/>
      <c r="K258" s="49"/>
      <c r="L258" s="49"/>
      <c r="M258" s="50"/>
      <c r="N258" s="49"/>
      <c r="O258" s="49"/>
      <c r="P258" s="50"/>
      <c r="Q258" s="52"/>
      <c r="R258" s="47"/>
      <c r="S258" s="47" t="s">
        <v>149</v>
      </c>
      <c r="T258" s="246"/>
      <c r="U258" s="47" t="s">
        <v>349</v>
      </c>
      <c r="V258" s="47" t="s">
        <v>150</v>
      </c>
      <c r="W258" s="47" t="str">
        <f t="shared" si="3"/>
        <v/>
      </c>
      <c r="X258" s="47" t="s">
        <v>349</v>
      </c>
      <c r="Y258" s="47" t="s">
        <v>349</v>
      </c>
      <c r="Z258" s="277">
        <v>45992</v>
      </c>
    </row>
    <row r="259" spans="1:26" x14ac:dyDescent="0.2">
      <c r="A259" s="264" t="s">
        <v>920</v>
      </c>
      <c r="B259" s="48" t="s">
        <v>921</v>
      </c>
      <c r="C259" s="49" t="s">
        <v>922</v>
      </c>
      <c r="D259" s="50">
        <v>45971</v>
      </c>
      <c r="E259" s="49" t="s">
        <v>923</v>
      </c>
      <c r="F259" s="49" t="s">
        <v>70</v>
      </c>
      <c r="G259" s="49" t="s">
        <v>467</v>
      </c>
      <c r="H259" s="49" t="s">
        <v>61</v>
      </c>
      <c r="I259" s="177" t="s">
        <v>746</v>
      </c>
      <c r="J259" s="49"/>
      <c r="K259" s="49"/>
      <c r="L259" s="49"/>
      <c r="M259" s="50"/>
      <c r="N259" s="49"/>
      <c r="O259" s="49"/>
      <c r="P259" s="50"/>
      <c r="Q259" s="52" t="s">
        <v>924</v>
      </c>
      <c r="R259" s="47"/>
      <c r="S259" s="47" t="s">
        <v>149</v>
      </c>
      <c r="T259" s="246">
        <v>1</v>
      </c>
      <c r="U259" s="47"/>
      <c r="V259" s="47" t="s">
        <v>150</v>
      </c>
      <c r="X259" s="47" t="s">
        <v>349</v>
      </c>
      <c r="Y259" s="47" t="s">
        <v>1833</v>
      </c>
      <c r="Z259" s="277"/>
    </row>
    <row r="260" spans="1:26" x14ac:dyDescent="0.2">
      <c r="A260" s="264" t="s">
        <v>925</v>
      </c>
      <c r="B260" s="48" t="s">
        <v>926</v>
      </c>
      <c r="C260" s="63" t="s">
        <v>927</v>
      </c>
      <c r="D260" s="50">
        <v>45985</v>
      </c>
      <c r="E260" s="49" t="s">
        <v>361</v>
      </c>
      <c r="F260" s="49" t="s">
        <v>70</v>
      </c>
      <c r="G260" s="49" t="s">
        <v>122</v>
      </c>
      <c r="H260" s="49" t="s">
        <v>59</v>
      </c>
      <c r="I260" s="177" t="s">
        <v>400</v>
      </c>
      <c r="J260" s="49"/>
      <c r="K260" s="49"/>
      <c r="L260" s="49"/>
      <c r="M260" s="50"/>
      <c r="N260" s="49"/>
      <c r="O260" s="49"/>
      <c r="P260" s="50"/>
      <c r="Q260" s="52"/>
      <c r="R260" s="47"/>
      <c r="S260" s="47" t="s">
        <v>149</v>
      </c>
      <c r="T260" s="246">
        <v>1</v>
      </c>
      <c r="U260" s="47"/>
      <c r="V260" s="47"/>
      <c r="X260" s="47" t="s">
        <v>349</v>
      </c>
      <c r="Y260" s="47" t="s">
        <v>349</v>
      </c>
      <c r="Z260" s="277">
        <v>45901</v>
      </c>
    </row>
    <row r="261" spans="1:26" x14ac:dyDescent="0.2">
      <c r="A261" s="264" t="s">
        <v>928</v>
      </c>
      <c r="B261" s="48" t="s">
        <v>929</v>
      </c>
      <c r="C261" s="49" t="s">
        <v>930</v>
      </c>
      <c r="D261" s="50">
        <v>45993</v>
      </c>
      <c r="E261" s="49" t="s">
        <v>173</v>
      </c>
      <c r="F261" s="49" t="s">
        <v>70</v>
      </c>
      <c r="G261" s="49" t="s">
        <v>347</v>
      </c>
      <c r="H261" s="49" t="s">
        <v>61</v>
      </c>
      <c r="I261" s="177" t="s">
        <v>174</v>
      </c>
      <c r="J261" s="49"/>
      <c r="K261" s="49"/>
      <c r="L261" s="49"/>
      <c r="M261" s="50"/>
      <c r="N261" s="49"/>
      <c r="O261" s="49"/>
      <c r="P261" s="50"/>
      <c r="Q261" s="52" t="s">
        <v>931</v>
      </c>
      <c r="R261" s="47"/>
      <c r="S261" s="47" t="s">
        <v>149</v>
      </c>
      <c r="T261" s="246">
        <v>1</v>
      </c>
      <c r="U261" s="47"/>
      <c r="V261" s="47" t="s">
        <v>150</v>
      </c>
      <c r="X261" s="47" t="s">
        <v>349</v>
      </c>
      <c r="Y261" s="47" t="s">
        <v>1833</v>
      </c>
      <c r="Z261" s="277"/>
    </row>
    <row r="262" spans="1:26" ht="0.75" customHeight="1" x14ac:dyDescent="0.2">
      <c r="A262" s="264"/>
      <c r="B262" s="48"/>
      <c r="C262" s="49"/>
      <c r="D262" s="61"/>
      <c r="E262" s="49" t="s">
        <v>932</v>
      </c>
      <c r="F262" s="49"/>
      <c r="G262" s="49"/>
      <c r="H262" s="49" t="s">
        <v>63</v>
      </c>
      <c r="I262" s="177"/>
      <c r="J262" s="49"/>
      <c r="K262" s="49"/>
      <c r="L262" s="49"/>
      <c r="M262" s="50"/>
      <c r="N262" s="49"/>
      <c r="O262" s="49"/>
      <c r="P262" s="50"/>
      <c r="Q262" s="52"/>
      <c r="R262" s="47"/>
      <c r="S262" s="47" t="s">
        <v>149</v>
      </c>
      <c r="T262" s="246"/>
      <c r="U262" s="47"/>
      <c r="V262" s="47"/>
      <c r="W262" s="273">
        <v>46023</v>
      </c>
      <c r="X262" s="47" t="s">
        <v>349</v>
      </c>
      <c r="Y262" s="47" t="s">
        <v>349</v>
      </c>
      <c r="Z262" s="277"/>
    </row>
    <row r="263" spans="1:26" x14ac:dyDescent="0.2">
      <c r="A263" s="264" t="s">
        <v>1829</v>
      </c>
      <c r="B263" s="48" t="s">
        <v>1828</v>
      </c>
      <c r="C263" s="49" t="s">
        <v>1827</v>
      </c>
      <c r="D263" s="50">
        <v>46041</v>
      </c>
      <c r="E263" s="49" t="s">
        <v>169</v>
      </c>
      <c r="F263" s="49" t="s">
        <v>72</v>
      </c>
      <c r="G263" s="49" t="s">
        <v>120</v>
      </c>
      <c r="H263" s="49" t="s">
        <v>57</v>
      </c>
      <c r="I263" s="177" t="s">
        <v>162</v>
      </c>
      <c r="J263" s="49" t="s">
        <v>163</v>
      </c>
      <c r="K263" s="49"/>
      <c r="L263" s="49"/>
      <c r="M263" s="50"/>
      <c r="N263" s="49"/>
      <c r="O263" s="49"/>
      <c r="P263" s="50"/>
      <c r="Q263" s="52" t="s">
        <v>933</v>
      </c>
      <c r="R263" s="47"/>
      <c r="S263" s="47" t="s">
        <v>149</v>
      </c>
      <c r="T263" s="246">
        <v>1</v>
      </c>
      <c r="U263" s="47"/>
      <c r="V263" s="47" t="s">
        <v>150</v>
      </c>
      <c r="W263" s="273">
        <v>46023</v>
      </c>
      <c r="X263" s="47" t="s">
        <v>349</v>
      </c>
      <c r="Y263" s="47" t="s">
        <v>1833</v>
      </c>
      <c r="Z263" s="277"/>
    </row>
    <row r="264" spans="1:26" x14ac:dyDescent="0.2">
      <c r="A264" s="264"/>
      <c r="B264" s="48"/>
      <c r="C264" s="49"/>
      <c r="D264" s="61"/>
      <c r="E264" s="49" t="s">
        <v>372</v>
      </c>
      <c r="F264" s="49"/>
      <c r="G264" s="49"/>
      <c r="H264" s="49" t="s">
        <v>57</v>
      </c>
      <c r="I264" s="177"/>
      <c r="J264" s="49" t="s">
        <v>72</v>
      </c>
      <c r="K264" s="49"/>
      <c r="L264" s="49"/>
      <c r="M264" s="50"/>
      <c r="N264" s="49"/>
      <c r="O264" s="49"/>
      <c r="P264" s="50"/>
      <c r="Q264" s="52"/>
      <c r="R264" s="47"/>
      <c r="S264" s="47" t="s">
        <v>149</v>
      </c>
      <c r="T264" s="246">
        <v>1</v>
      </c>
      <c r="U264" s="47"/>
      <c r="V264" s="47"/>
      <c r="W264" s="273">
        <v>46054</v>
      </c>
      <c r="Z264" s="277"/>
    </row>
    <row r="265" spans="1:26" x14ac:dyDescent="0.2">
      <c r="A265" s="264"/>
      <c r="B265" s="48"/>
      <c r="C265" s="49"/>
      <c r="D265" s="61"/>
      <c r="E265" s="49" t="s">
        <v>934</v>
      </c>
      <c r="F265" s="49"/>
      <c r="G265" s="49"/>
      <c r="H265" s="49" t="s">
        <v>61</v>
      </c>
      <c r="I265" s="177"/>
      <c r="J265" s="49"/>
      <c r="K265" s="49"/>
      <c r="L265" s="49"/>
      <c r="M265" s="50"/>
      <c r="N265" s="49"/>
      <c r="O265" s="49"/>
      <c r="P265" s="50"/>
      <c r="Q265" s="52" t="s">
        <v>935</v>
      </c>
      <c r="R265" s="47"/>
      <c r="S265" s="47" t="s">
        <v>149</v>
      </c>
      <c r="T265" s="246"/>
      <c r="U265" s="47"/>
      <c r="V265" s="47"/>
      <c r="W265" s="273">
        <v>46023</v>
      </c>
      <c r="Z265" s="277">
        <v>45992</v>
      </c>
    </row>
    <row r="266" spans="1:26" x14ac:dyDescent="0.2">
      <c r="A266" s="265"/>
      <c r="B266" s="62"/>
      <c r="C266" s="63"/>
      <c r="D266" s="272"/>
      <c r="E266" s="63" t="s">
        <v>936</v>
      </c>
      <c r="F266" s="63"/>
      <c r="G266" s="63"/>
      <c r="H266" s="63" t="s">
        <v>106</v>
      </c>
      <c r="I266" s="175"/>
      <c r="J266" s="63" t="s">
        <v>106</v>
      </c>
      <c r="K266" s="63"/>
      <c r="L266" s="63"/>
      <c r="M266" s="64"/>
      <c r="N266" s="63"/>
      <c r="O266" s="63"/>
      <c r="P266" s="64"/>
      <c r="Q266" s="66"/>
      <c r="R266" s="47"/>
      <c r="S266" s="47" t="s">
        <v>149</v>
      </c>
      <c r="T266" s="246">
        <v>1</v>
      </c>
      <c r="U266" s="47"/>
      <c r="V266" s="47"/>
      <c r="W266" s="273">
        <v>46054</v>
      </c>
      <c r="Z266" s="277"/>
    </row>
    <row r="267" spans="1:26" x14ac:dyDescent="0.2">
      <c r="A267" s="274"/>
      <c r="B267" s="63" t="s">
        <v>1820</v>
      </c>
      <c r="C267" s="63" t="s">
        <v>1819</v>
      </c>
      <c r="D267" s="64">
        <v>45992</v>
      </c>
      <c r="E267" s="65" t="s">
        <v>1818</v>
      </c>
      <c r="F267" s="63" t="s">
        <v>70</v>
      </c>
      <c r="G267" s="63" t="s">
        <v>106</v>
      </c>
      <c r="H267" s="63" t="s">
        <v>1817</v>
      </c>
      <c r="I267" s="175" t="s">
        <v>283</v>
      </c>
      <c r="J267" s="63" t="s">
        <v>106</v>
      </c>
      <c r="K267" s="63"/>
      <c r="L267" s="63"/>
      <c r="M267" s="64"/>
      <c r="N267" s="63"/>
      <c r="O267" s="63"/>
      <c r="P267" s="64"/>
      <c r="Q267" s="66" t="s">
        <v>1825</v>
      </c>
      <c r="R267" s="47"/>
      <c r="S267" s="47" t="s">
        <v>149</v>
      </c>
      <c r="T267" s="246">
        <v>1</v>
      </c>
      <c r="U267" s="47" t="s">
        <v>349</v>
      </c>
      <c r="V267" s="47"/>
      <c r="X267" s="2" t="s">
        <v>1833</v>
      </c>
      <c r="Y267" s="2" t="s">
        <v>1833</v>
      </c>
      <c r="Z267" s="277" t="s">
        <v>1834</v>
      </c>
    </row>
    <row r="268" spans="1:26" x14ac:dyDescent="0.2">
      <c r="A268" s="274"/>
      <c r="B268" s="62" t="s">
        <v>1822</v>
      </c>
      <c r="C268" s="63" t="s">
        <v>1821</v>
      </c>
      <c r="D268" s="64">
        <v>45992</v>
      </c>
      <c r="E268" s="65" t="s">
        <v>1818</v>
      </c>
      <c r="F268" s="63" t="s">
        <v>70</v>
      </c>
      <c r="G268" s="63" t="s">
        <v>106</v>
      </c>
      <c r="H268" s="63" t="s">
        <v>1817</v>
      </c>
      <c r="I268" s="175" t="s">
        <v>283</v>
      </c>
      <c r="J268" s="63" t="s">
        <v>106</v>
      </c>
      <c r="K268" s="63"/>
      <c r="L268" s="63"/>
      <c r="M268" s="64"/>
      <c r="N268" s="63"/>
      <c r="O268" s="63"/>
      <c r="P268" s="64"/>
      <c r="Q268" s="66" t="s">
        <v>1825</v>
      </c>
      <c r="R268" s="47"/>
      <c r="S268" s="47" t="s">
        <v>149</v>
      </c>
      <c r="T268" s="246">
        <v>1</v>
      </c>
      <c r="U268" s="47" t="s">
        <v>349</v>
      </c>
      <c r="V268" s="47"/>
      <c r="X268" s="2" t="s">
        <v>1833</v>
      </c>
      <c r="Y268" s="2" t="s">
        <v>1833</v>
      </c>
      <c r="Z268" s="277" t="s">
        <v>1834</v>
      </c>
    </row>
    <row r="269" spans="1:26" x14ac:dyDescent="0.2">
      <c r="A269" s="274"/>
      <c r="B269" s="62" t="s">
        <v>1824</v>
      </c>
      <c r="C269" s="63" t="s">
        <v>1823</v>
      </c>
      <c r="D269" s="64">
        <v>45992</v>
      </c>
      <c r="E269" s="65" t="s">
        <v>1818</v>
      </c>
      <c r="F269" s="63" t="s">
        <v>70</v>
      </c>
      <c r="G269" s="63" t="s">
        <v>106</v>
      </c>
      <c r="H269" s="63" t="s">
        <v>1817</v>
      </c>
      <c r="I269" s="175" t="s">
        <v>283</v>
      </c>
      <c r="J269" s="63" t="s">
        <v>106</v>
      </c>
      <c r="K269" s="63"/>
      <c r="L269" s="63"/>
      <c r="M269" s="64"/>
      <c r="N269" s="63"/>
      <c r="O269" s="63"/>
      <c r="P269" s="64"/>
      <c r="Q269" s="66" t="s">
        <v>1825</v>
      </c>
      <c r="R269" s="47"/>
      <c r="S269" s="47" t="s">
        <v>149</v>
      </c>
      <c r="T269" s="246">
        <v>1</v>
      </c>
      <c r="U269" s="47" t="s">
        <v>349</v>
      </c>
      <c r="V269" s="47"/>
      <c r="X269" s="2" t="s">
        <v>1833</v>
      </c>
      <c r="Y269" s="2" t="s">
        <v>1833</v>
      </c>
      <c r="Z269" s="277" t="s">
        <v>1834</v>
      </c>
    </row>
    <row r="270" spans="1:26" hidden="1" x14ac:dyDescent="0.2">
      <c r="A270" s="274"/>
      <c r="B270" s="63" t="s">
        <v>1820</v>
      </c>
      <c r="C270" s="63" t="s">
        <v>1819</v>
      </c>
      <c r="D270" s="64">
        <v>45992</v>
      </c>
      <c r="E270" s="65" t="s">
        <v>1818</v>
      </c>
      <c r="F270" s="63" t="s">
        <v>70</v>
      </c>
      <c r="G270" s="63" t="s">
        <v>106</v>
      </c>
      <c r="H270" s="63" t="s">
        <v>1817</v>
      </c>
      <c r="I270" s="175" t="s">
        <v>283</v>
      </c>
      <c r="J270" s="63" t="s">
        <v>106</v>
      </c>
      <c r="K270" s="63"/>
      <c r="L270" s="63"/>
      <c r="M270" s="64"/>
      <c r="N270" s="63"/>
      <c r="O270" s="63"/>
      <c r="P270" s="64"/>
      <c r="Q270" s="66" t="s">
        <v>1825</v>
      </c>
      <c r="R270" s="47"/>
      <c r="S270" s="47" t="s">
        <v>149</v>
      </c>
      <c r="T270" s="246">
        <v>1</v>
      </c>
      <c r="U270" s="47" t="s">
        <v>349</v>
      </c>
      <c r="V270" s="47"/>
      <c r="W270"/>
      <c r="X270" s="2" t="s">
        <v>1833</v>
      </c>
      <c r="Y270" s="2" t="s">
        <v>1833</v>
      </c>
      <c r="Z270" s="2" t="s">
        <v>1834</v>
      </c>
    </row>
    <row r="271" spans="1:26" hidden="1" x14ac:dyDescent="0.2">
      <c r="A271" s="274"/>
      <c r="B271" s="62" t="s">
        <v>1822</v>
      </c>
      <c r="C271" s="63" t="s">
        <v>1821</v>
      </c>
      <c r="D271" s="64">
        <v>45992</v>
      </c>
      <c r="E271" s="65" t="s">
        <v>1818</v>
      </c>
      <c r="F271" s="63" t="s">
        <v>70</v>
      </c>
      <c r="G271" s="63" t="s">
        <v>106</v>
      </c>
      <c r="H271" s="63" t="s">
        <v>1817</v>
      </c>
      <c r="I271" s="175" t="s">
        <v>283</v>
      </c>
      <c r="J271" s="63" t="s">
        <v>106</v>
      </c>
      <c r="K271" s="63"/>
      <c r="L271" s="63"/>
      <c r="M271" s="64"/>
      <c r="N271" s="63"/>
      <c r="O271" s="63"/>
      <c r="P271" s="64"/>
      <c r="Q271" s="66" t="s">
        <v>1825</v>
      </c>
      <c r="R271" s="47"/>
      <c r="S271" s="47" t="s">
        <v>149</v>
      </c>
      <c r="T271" s="246">
        <v>1</v>
      </c>
      <c r="U271" s="47" t="s">
        <v>349</v>
      </c>
      <c r="V271" s="47"/>
      <c r="W271"/>
      <c r="X271" s="2" t="s">
        <v>1833</v>
      </c>
      <c r="Y271" s="2" t="s">
        <v>1833</v>
      </c>
      <c r="Z271" s="2" t="s">
        <v>1834</v>
      </c>
    </row>
    <row r="272" spans="1:26" hidden="1" x14ac:dyDescent="0.2">
      <c r="A272" s="274"/>
      <c r="B272" s="62" t="s">
        <v>1824</v>
      </c>
      <c r="C272" s="63" t="s">
        <v>1823</v>
      </c>
      <c r="D272" s="64">
        <v>45992</v>
      </c>
      <c r="E272" s="65" t="s">
        <v>1818</v>
      </c>
      <c r="F272" s="63" t="s">
        <v>70</v>
      </c>
      <c r="G272" s="63" t="s">
        <v>106</v>
      </c>
      <c r="H272" s="63" t="s">
        <v>1817</v>
      </c>
      <c r="I272" s="175" t="s">
        <v>283</v>
      </c>
      <c r="J272" s="63" t="s">
        <v>106</v>
      </c>
      <c r="K272" s="63"/>
      <c r="L272" s="63"/>
      <c r="M272" s="64"/>
      <c r="N272" s="63"/>
      <c r="O272" s="63"/>
      <c r="P272" s="64"/>
      <c r="Q272" s="66" t="s">
        <v>1825</v>
      </c>
      <c r="R272" s="47"/>
      <c r="S272" s="47" t="s">
        <v>149</v>
      </c>
      <c r="T272" s="246">
        <v>1</v>
      </c>
      <c r="U272" s="47" t="s">
        <v>349</v>
      </c>
      <c r="V272" s="47"/>
      <c r="W272"/>
      <c r="X272" s="2" t="s">
        <v>1833</v>
      </c>
      <c r="Y272" s="2" t="s">
        <v>1833</v>
      </c>
      <c r="Z272" s="2" t="s">
        <v>1834</v>
      </c>
    </row>
    <row r="273" spans="1:21" x14ac:dyDescent="0.2">
      <c r="A273" s="264"/>
      <c r="B273" s="48"/>
      <c r="C273" s="49"/>
      <c r="D273" s="61"/>
      <c r="E273" s="49"/>
      <c r="F273" s="49"/>
      <c r="G273" s="49"/>
      <c r="H273" s="49"/>
      <c r="I273" s="177"/>
      <c r="J273" s="49"/>
      <c r="K273" s="49"/>
      <c r="L273" s="49"/>
      <c r="M273" s="50"/>
      <c r="N273" s="49"/>
      <c r="O273" s="49"/>
      <c r="P273" s="50"/>
      <c r="Q273" s="52"/>
      <c r="R273" s="47"/>
      <c r="S273" s="47"/>
      <c r="T273" s="246"/>
      <c r="U273" s="47"/>
    </row>
    <row r="274" spans="1:21" x14ac:dyDescent="0.2">
      <c r="A274" s="264"/>
      <c r="B274" s="48"/>
      <c r="D274" s="61"/>
      <c r="E274" s="49"/>
      <c r="F274" s="49"/>
      <c r="G274" s="49"/>
      <c r="H274" s="49"/>
      <c r="I274" s="177"/>
      <c r="J274" s="49"/>
      <c r="K274" s="49"/>
      <c r="L274" s="49"/>
      <c r="M274" s="50"/>
      <c r="N274" s="49"/>
      <c r="O274" s="49"/>
      <c r="P274" s="50"/>
      <c r="Q274" s="52"/>
      <c r="R274" s="47"/>
      <c r="S274" s="47"/>
      <c r="T274" s="246"/>
      <c r="U274" s="47"/>
    </row>
    <row r="275" spans="1:21" x14ac:dyDescent="0.2">
      <c r="A275" s="264"/>
      <c r="B275" s="48"/>
      <c r="D275" s="61"/>
      <c r="E275" s="49"/>
      <c r="F275" s="49"/>
      <c r="G275" s="49"/>
      <c r="H275" s="49"/>
      <c r="I275" s="177"/>
      <c r="J275" s="49"/>
      <c r="K275" s="49"/>
      <c r="L275" s="49"/>
      <c r="M275" s="50"/>
      <c r="N275" s="49"/>
      <c r="O275" s="49"/>
      <c r="P275" s="50"/>
      <c r="Q275" s="52"/>
      <c r="R275" s="47"/>
      <c r="S275" s="47"/>
      <c r="T275" s="246"/>
      <c r="U275" s="47"/>
    </row>
    <row r="276" spans="1:21" x14ac:dyDescent="0.2">
      <c r="A276" s="264"/>
      <c r="B276" s="48"/>
      <c r="D276" s="61"/>
      <c r="E276" s="49"/>
      <c r="F276" s="49"/>
      <c r="G276" s="49"/>
      <c r="H276" s="49"/>
      <c r="I276" s="177"/>
      <c r="J276" s="49"/>
      <c r="K276" s="49"/>
      <c r="L276" s="49"/>
      <c r="M276" s="50"/>
      <c r="N276" s="49"/>
      <c r="O276" s="49"/>
      <c r="P276" s="50"/>
      <c r="Q276" s="52"/>
      <c r="R276" s="47"/>
      <c r="S276" s="47"/>
      <c r="T276" s="246"/>
      <c r="U276" s="47"/>
    </row>
    <row r="277" spans="1:21" x14ac:dyDescent="0.2">
      <c r="A277" s="264"/>
      <c r="B277" s="48"/>
      <c r="D277" s="61"/>
      <c r="E277" s="49"/>
      <c r="F277" s="49"/>
      <c r="G277" s="49"/>
      <c r="H277" s="49"/>
      <c r="I277" s="177"/>
      <c r="J277" s="49"/>
      <c r="K277" s="49"/>
      <c r="L277" s="49"/>
      <c r="M277" s="50"/>
      <c r="N277" s="49"/>
      <c r="O277" s="49"/>
      <c r="P277" s="50"/>
      <c r="Q277" s="52"/>
      <c r="R277" s="47"/>
      <c r="S277" s="47"/>
      <c r="T277" s="246"/>
      <c r="U277" s="47"/>
    </row>
    <row r="278" spans="1:21" x14ac:dyDescent="0.2">
      <c r="A278" s="264"/>
      <c r="B278" s="48"/>
      <c r="D278" s="61"/>
      <c r="E278" s="49"/>
      <c r="F278" s="49"/>
      <c r="G278" s="49"/>
      <c r="H278" s="49"/>
      <c r="I278" s="177"/>
      <c r="J278" s="49"/>
      <c r="K278" s="49"/>
      <c r="L278" s="49"/>
      <c r="M278" s="50"/>
      <c r="N278" s="49"/>
      <c r="O278" s="49"/>
      <c r="P278" s="50"/>
      <c r="Q278" s="52"/>
      <c r="R278" s="47"/>
      <c r="S278" s="47"/>
      <c r="T278" s="246"/>
      <c r="U278" s="47"/>
    </row>
    <row r="279" spans="1:21" x14ac:dyDescent="0.2">
      <c r="A279" s="264"/>
      <c r="B279" s="48"/>
      <c r="D279" s="61"/>
      <c r="E279" s="49"/>
      <c r="F279" s="49"/>
      <c r="G279" s="49"/>
      <c r="H279" s="49"/>
      <c r="I279" s="177"/>
      <c r="J279" s="49"/>
      <c r="K279" s="49"/>
      <c r="L279" s="49"/>
      <c r="M279" s="50"/>
      <c r="N279" s="49"/>
      <c r="O279" s="49"/>
      <c r="P279" s="50"/>
      <c r="Q279" s="52"/>
      <c r="R279" s="47"/>
      <c r="S279" s="47"/>
      <c r="T279" s="246"/>
      <c r="U279" s="47"/>
    </row>
    <row r="280" spans="1:21" x14ac:dyDescent="0.2">
      <c r="A280" s="264"/>
      <c r="B280" s="48"/>
      <c r="C280" s="49"/>
      <c r="D280" s="61"/>
      <c r="E280" s="49"/>
      <c r="F280" s="49"/>
      <c r="G280" s="49"/>
      <c r="H280" s="49"/>
      <c r="I280" s="177"/>
      <c r="J280" s="49"/>
      <c r="K280" s="49"/>
      <c r="L280" s="49"/>
      <c r="M280" s="50"/>
      <c r="N280" s="49"/>
      <c r="O280" s="49"/>
      <c r="P280" s="50"/>
      <c r="Q280" s="52"/>
      <c r="R280" s="47"/>
      <c r="S280" s="47"/>
      <c r="T280" s="246"/>
      <c r="U280" s="47"/>
    </row>
    <row r="281" spans="1:21" x14ac:dyDescent="0.2">
      <c r="A281" s="264"/>
      <c r="B281" s="48"/>
      <c r="C281" s="49"/>
      <c r="D281" s="61"/>
      <c r="E281" s="49"/>
      <c r="F281" s="49"/>
      <c r="G281" s="49"/>
      <c r="H281" s="49"/>
      <c r="I281" s="177"/>
      <c r="J281" s="49"/>
      <c r="K281" s="49"/>
      <c r="L281" s="49"/>
      <c r="M281" s="50"/>
      <c r="N281" s="49"/>
      <c r="O281" s="49"/>
      <c r="P281" s="50"/>
      <c r="Q281" s="52"/>
      <c r="R281" s="47"/>
      <c r="S281" s="47"/>
      <c r="T281" s="246"/>
      <c r="U281" s="47"/>
    </row>
    <row r="282" spans="1:21" x14ac:dyDescent="0.2">
      <c r="A282" s="264"/>
      <c r="B282" s="48"/>
      <c r="C282" s="49"/>
      <c r="D282" s="61"/>
      <c r="E282" s="49"/>
      <c r="F282" s="49"/>
      <c r="G282" s="49"/>
      <c r="H282" s="49"/>
      <c r="I282" s="177"/>
      <c r="J282" s="49"/>
      <c r="K282" s="49"/>
      <c r="L282" s="49"/>
      <c r="M282" s="50"/>
      <c r="N282" s="49"/>
      <c r="O282" s="49"/>
      <c r="P282" s="50"/>
      <c r="Q282" s="52"/>
      <c r="R282" s="47"/>
      <c r="S282" s="47"/>
      <c r="T282" s="246"/>
      <c r="U282" s="47"/>
    </row>
    <row r="283" spans="1:21" x14ac:dyDescent="0.2">
      <c r="A283" s="264"/>
      <c r="B283" s="48"/>
      <c r="C283" s="49"/>
      <c r="D283" s="61"/>
      <c r="E283" s="49"/>
      <c r="F283" s="49"/>
      <c r="G283" s="49"/>
      <c r="H283" s="49"/>
      <c r="I283" s="177"/>
      <c r="J283" s="49"/>
      <c r="K283" s="49"/>
      <c r="L283" s="49"/>
      <c r="M283" s="50"/>
      <c r="N283" s="49"/>
      <c r="O283" s="49"/>
      <c r="P283" s="50"/>
      <c r="Q283" s="52"/>
      <c r="R283" s="47"/>
      <c r="S283" s="47"/>
      <c r="T283" s="246"/>
      <c r="U283" s="47"/>
    </row>
    <row r="284" spans="1:21" x14ac:dyDescent="0.2">
      <c r="A284" s="264"/>
      <c r="B284" s="48"/>
      <c r="C284" s="49"/>
      <c r="D284" s="61"/>
      <c r="E284" s="49"/>
      <c r="F284" s="49"/>
      <c r="G284" s="49"/>
      <c r="H284" s="49"/>
      <c r="I284" s="177"/>
      <c r="J284" s="49"/>
      <c r="K284" s="49"/>
      <c r="L284" s="49"/>
      <c r="M284" s="50"/>
      <c r="N284" s="49"/>
      <c r="O284" s="49"/>
      <c r="P284" s="50"/>
      <c r="Q284" s="52"/>
      <c r="R284" s="47"/>
      <c r="S284" s="47"/>
      <c r="T284" s="246"/>
      <c r="U284" s="47"/>
    </row>
    <row r="285" spans="1:21" x14ac:dyDescent="0.2">
      <c r="A285" s="264"/>
      <c r="B285" s="48"/>
      <c r="C285" s="49"/>
      <c r="D285" s="61"/>
      <c r="E285" s="49"/>
      <c r="F285" s="49"/>
      <c r="G285" s="49"/>
      <c r="H285" s="49"/>
      <c r="I285" s="177"/>
      <c r="J285" s="49"/>
      <c r="K285" s="49"/>
      <c r="L285" s="49"/>
      <c r="M285" s="50"/>
      <c r="N285" s="49"/>
      <c r="O285" s="49"/>
      <c r="P285" s="50"/>
      <c r="Q285" s="52"/>
      <c r="R285" s="47"/>
      <c r="S285" s="47"/>
      <c r="T285" s="246"/>
      <c r="U285" s="47"/>
    </row>
    <row r="286" spans="1:21" x14ac:dyDescent="0.2">
      <c r="A286" s="264"/>
      <c r="B286" s="48"/>
      <c r="C286" s="49"/>
      <c r="D286" s="61"/>
      <c r="E286" s="51"/>
      <c r="F286" s="49"/>
      <c r="G286" s="49"/>
      <c r="H286" s="49"/>
      <c r="I286" s="177"/>
      <c r="J286" s="49"/>
      <c r="K286" s="49"/>
      <c r="L286" s="49"/>
      <c r="M286" s="50"/>
      <c r="N286" s="49"/>
      <c r="O286" s="49"/>
      <c r="P286" s="50"/>
      <c r="Q286" s="52"/>
      <c r="R286" s="47"/>
      <c r="S286" s="47"/>
      <c r="T286" s="246"/>
      <c r="U286" s="47"/>
    </row>
    <row r="287" spans="1:21" x14ac:dyDescent="0.2">
      <c r="A287" s="264"/>
      <c r="B287" s="48"/>
      <c r="C287" s="49"/>
      <c r="D287" s="61"/>
      <c r="E287" s="51"/>
      <c r="F287" s="49"/>
      <c r="G287" s="49"/>
      <c r="H287" s="49"/>
      <c r="I287" s="177"/>
      <c r="J287" s="49"/>
      <c r="K287" s="49"/>
      <c r="L287" s="49"/>
      <c r="M287" s="50"/>
      <c r="N287" s="49"/>
      <c r="O287" s="49"/>
      <c r="P287" s="50"/>
      <c r="Q287" s="52"/>
      <c r="R287" s="47"/>
      <c r="S287" s="47"/>
      <c r="T287" s="246"/>
      <c r="U287" s="47"/>
    </row>
    <row r="288" spans="1:21" x14ac:dyDescent="0.2">
      <c r="A288" s="264"/>
      <c r="B288" s="48"/>
      <c r="C288" s="49"/>
      <c r="D288" s="61"/>
      <c r="E288" s="51"/>
      <c r="F288" s="49"/>
      <c r="G288" s="49"/>
      <c r="H288" s="49"/>
      <c r="I288" s="177"/>
      <c r="J288" s="49"/>
      <c r="K288" s="49"/>
      <c r="L288" s="49"/>
      <c r="M288" s="50"/>
      <c r="N288" s="49"/>
      <c r="O288" s="49"/>
      <c r="P288" s="50"/>
      <c r="Q288" s="52"/>
      <c r="R288" s="47"/>
      <c r="S288" s="47"/>
      <c r="T288" s="246"/>
      <c r="U288" s="47"/>
    </row>
    <row r="289" spans="1:21" x14ac:dyDescent="0.2">
      <c r="A289" s="264"/>
      <c r="B289" s="48"/>
      <c r="C289" s="49"/>
      <c r="D289" s="61"/>
      <c r="E289" s="51"/>
      <c r="F289" s="49"/>
      <c r="G289" s="49"/>
      <c r="H289" s="49"/>
      <c r="I289" s="177"/>
      <c r="J289" s="49"/>
      <c r="K289" s="49"/>
      <c r="L289" s="49"/>
      <c r="M289" s="50"/>
      <c r="N289" s="49"/>
      <c r="O289" s="49"/>
      <c r="P289" s="50"/>
      <c r="Q289" s="52"/>
      <c r="R289" s="47"/>
      <c r="S289" s="47"/>
      <c r="T289" s="246"/>
      <c r="U289" s="47"/>
    </row>
    <row r="290" spans="1:21" x14ac:dyDescent="0.2">
      <c r="A290" s="264"/>
      <c r="B290" s="48"/>
      <c r="C290" s="49"/>
      <c r="D290" s="61"/>
      <c r="E290" s="51"/>
      <c r="F290" s="49"/>
      <c r="G290" s="49"/>
      <c r="H290" s="49"/>
      <c r="I290" s="177"/>
      <c r="J290" s="49"/>
      <c r="K290" s="49"/>
      <c r="L290" s="49"/>
      <c r="M290" s="50"/>
      <c r="N290" s="49"/>
      <c r="O290" s="49"/>
      <c r="P290" s="50"/>
      <c r="Q290" s="52"/>
      <c r="R290" s="47"/>
      <c r="S290" s="47"/>
      <c r="T290" s="246"/>
      <c r="U290" s="47"/>
    </row>
    <row r="291" spans="1:21" x14ac:dyDescent="0.2">
      <c r="A291" s="264"/>
      <c r="B291" s="48"/>
      <c r="C291" s="49"/>
      <c r="D291" s="61"/>
      <c r="E291" s="51"/>
      <c r="F291" s="49"/>
      <c r="G291" s="49"/>
      <c r="H291" s="49"/>
      <c r="I291" s="177"/>
      <c r="J291" s="49"/>
      <c r="K291" s="49"/>
      <c r="L291" s="49"/>
      <c r="M291" s="50"/>
      <c r="N291" s="49"/>
      <c r="O291" s="49"/>
      <c r="P291" s="50"/>
      <c r="Q291" s="52"/>
      <c r="R291" s="47"/>
      <c r="S291" s="47"/>
      <c r="T291" s="246"/>
      <c r="U291" s="47"/>
    </row>
  </sheetData>
  <autoFilter ref="W3:Z272" xr:uid="{82C0D865-0952-4EA1-8AA6-9806ADD5F99D}">
    <filterColumn colId="2">
      <filters>
        <filter val="Y"/>
      </filters>
    </filterColumn>
  </autoFilter>
  <phoneticPr fontId="42" type="noConversion"/>
  <conditionalFormatting sqref="A1:A1048576">
    <cfRule type="duplicateValues" dxfId="5" priority="2"/>
  </conditionalFormatting>
  <conditionalFormatting sqref="A4:A269">
    <cfRule type="duplicateValues" dxfId="4" priority="1"/>
  </conditionalFormatting>
  <conditionalFormatting sqref="A251:A265 A244 A4:A242">
    <cfRule type="duplicateValues" dxfId="3" priority="21"/>
  </conditionalFormatting>
  <pageMargins left="0.7" right="0.7" top="0.75" bottom="0.75" header="0.3" footer="0.3"/>
  <pageSetup paperSize="9" orientation="portrait" verticalDpi="0" r:id="rId1"/>
  <headerFooter>
    <oddHeader>&amp;C&amp;"Calibri"&amp;10&amp;K000000 [PROTECTED_INTERNAL]&amp;1#_x000D_</oddHeader>
  </headerFooter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0E9A-1CD2-40B8-9E33-21770128C1E5}">
  <dimension ref="A1:I455"/>
  <sheetViews>
    <sheetView workbookViewId="0"/>
  </sheetViews>
  <sheetFormatPr defaultRowHeight="12.75" x14ac:dyDescent="0.2"/>
  <cols>
    <col min="1" max="1" width="14.140625" bestFit="1" customWidth="1"/>
    <col min="2" max="2" width="26.140625" bestFit="1" customWidth="1"/>
    <col min="3" max="3" width="13.42578125" bestFit="1" customWidth="1"/>
    <col min="4" max="4" width="47.5703125" bestFit="1" customWidth="1"/>
    <col min="5" max="5" width="19.140625" bestFit="1" customWidth="1"/>
    <col min="6" max="6" width="19.5703125" bestFit="1" customWidth="1"/>
    <col min="8" max="8" width="17.85546875" customWidth="1"/>
    <col min="9" max="9" width="16.140625" bestFit="1" customWidth="1"/>
  </cols>
  <sheetData>
    <row r="1" spans="1:9" x14ac:dyDescent="0.2">
      <c r="A1" t="s">
        <v>937</v>
      </c>
    </row>
    <row r="2" spans="1:9" ht="13.5" thickBot="1" x14ac:dyDescent="0.25"/>
    <row r="3" spans="1:9" x14ac:dyDescent="0.2">
      <c r="A3" t="s">
        <v>938</v>
      </c>
      <c r="B3" t="s">
        <v>939</v>
      </c>
      <c r="C3" t="s">
        <v>940</v>
      </c>
      <c r="D3" t="s">
        <v>941</v>
      </c>
      <c r="E3" s="146" t="s">
        <v>942</v>
      </c>
      <c r="F3" s="146" t="s">
        <v>943</v>
      </c>
      <c r="H3" s="193" t="s">
        <v>942</v>
      </c>
      <c r="I3" s="194" t="s">
        <v>943</v>
      </c>
    </row>
    <row r="4" spans="1:9" hidden="1" x14ac:dyDescent="0.2">
      <c r="A4">
        <v>2</v>
      </c>
      <c r="B4" t="s">
        <v>877</v>
      </c>
      <c r="C4" t="s">
        <v>944</v>
      </c>
      <c r="D4" t="s">
        <v>114</v>
      </c>
      <c r="E4" s="191" t="s">
        <v>347</v>
      </c>
      <c r="F4" t="str">
        <f>INDEX($I$3:$I$18,MATCH(jobcat19[[#This Row],[Pricing category ]],$H$3:$H$18,0),1)</f>
        <v xml:space="preserve">Professional Services </v>
      </c>
      <c r="H4" s="191" t="s">
        <v>372</v>
      </c>
      <c r="I4" s="192" t="s">
        <v>945</v>
      </c>
    </row>
    <row r="5" spans="1:9" hidden="1" x14ac:dyDescent="0.2">
      <c r="A5">
        <v>14</v>
      </c>
      <c r="B5" t="s">
        <v>946</v>
      </c>
      <c r="D5" t="s">
        <v>947</v>
      </c>
      <c r="E5" t="s">
        <v>92</v>
      </c>
      <c r="F5" t="str">
        <f>INDEX($I$3:$I$18,MATCH(jobcat19[[#This Row],[Pricing category ]],$H$3:$H$18,0),1)</f>
        <v xml:space="preserve">Professional Services </v>
      </c>
      <c r="H5" s="191" t="s">
        <v>948</v>
      </c>
      <c r="I5" s="192" t="s">
        <v>945</v>
      </c>
    </row>
    <row r="6" spans="1:9" hidden="1" x14ac:dyDescent="0.2">
      <c r="A6">
        <v>16</v>
      </c>
      <c r="B6" t="s">
        <v>949</v>
      </c>
      <c r="D6" t="s">
        <v>947</v>
      </c>
      <c r="E6" t="s">
        <v>92</v>
      </c>
      <c r="F6" t="str">
        <f>INDEX($I$3:$I$18,MATCH(jobcat19[[#This Row],[Pricing category ]],$H$3:$H$18,0),1)</f>
        <v xml:space="preserve">Professional Services </v>
      </c>
      <c r="H6" s="191" t="s">
        <v>464</v>
      </c>
      <c r="I6" s="192" t="s">
        <v>950</v>
      </c>
    </row>
    <row r="7" spans="1:9" x14ac:dyDescent="0.2">
      <c r="A7">
        <v>21</v>
      </c>
      <c r="B7" t="s">
        <v>951</v>
      </c>
      <c r="C7" t="s">
        <v>145</v>
      </c>
      <c r="D7" t="s">
        <v>952</v>
      </c>
      <c r="E7" s="191" t="s">
        <v>372</v>
      </c>
      <c r="F7" t="str">
        <f>INDEX($I$3:$I$18,MATCH(jobcat19[[#This Row],[Pricing category ]],$H$3:$H$18,0),1)</f>
        <v>Technical Services</v>
      </c>
      <c r="H7" s="191" t="s">
        <v>953</v>
      </c>
      <c r="I7" s="192" t="s">
        <v>945</v>
      </c>
    </row>
    <row r="8" spans="1:9" hidden="1" x14ac:dyDescent="0.2">
      <c r="A8">
        <v>25</v>
      </c>
      <c r="B8" t="s">
        <v>954</v>
      </c>
      <c r="D8" t="s">
        <v>947</v>
      </c>
      <c r="E8" t="s">
        <v>92</v>
      </c>
      <c r="F8" t="str">
        <f>INDEX($I$3:$I$18,MATCH(jobcat19[[#This Row],[Pricing category ]],$H$3:$H$18,0),1)</f>
        <v xml:space="preserve">Professional Services </v>
      </c>
      <c r="H8" s="191" t="s">
        <v>347</v>
      </c>
      <c r="I8" s="192" t="s">
        <v>950</v>
      </c>
    </row>
    <row r="9" spans="1:9" hidden="1" x14ac:dyDescent="0.2">
      <c r="A9">
        <v>28</v>
      </c>
      <c r="B9" t="s">
        <v>955</v>
      </c>
      <c r="D9" t="s">
        <v>947</v>
      </c>
      <c r="E9" t="s">
        <v>92</v>
      </c>
      <c r="F9" t="str">
        <f>INDEX($I$3:$I$18,MATCH(jobcat19[[#This Row],[Pricing category ]],$H$3:$H$18,0),1)</f>
        <v xml:space="preserve">Professional Services </v>
      </c>
      <c r="H9" s="191" t="s">
        <v>956</v>
      </c>
      <c r="I9" s="192" t="s">
        <v>950</v>
      </c>
    </row>
    <row r="10" spans="1:9" hidden="1" x14ac:dyDescent="0.2">
      <c r="A10">
        <v>40</v>
      </c>
      <c r="B10" t="s">
        <v>957</v>
      </c>
      <c r="D10" t="s">
        <v>947</v>
      </c>
      <c r="E10" t="s">
        <v>92</v>
      </c>
      <c r="F10" t="str">
        <f>INDEX($I$3:$I$18,MATCH(jobcat19[[#This Row],[Pricing category ]],$H$3:$H$18,0),1)</f>
        <v xml:space="preserve">Professional Services </v>
      </c>
      <c r="H10" s="191" t="s">
        <v>118</v>
      </c>
      <c r="I10" s="192" t="s">
        <v>950</v>
      </c>
    </row>
    <row r="11" spans="1:9" hidden="1" x14ac:dyDescent="0.2">
      <c r="A11">
        <v>43</v>
      </c>
      <c r="B11" t="s">
        <v>958</v>
      </c>
      <c r="D11" t="s">
        <v>947</v>
      </c>
      <c r="E11" t="s">
        <v>92</v>
      </c>
      <c r="F11" t="str">
        <f>INDEX($I$3:$I$18,MATCH(jobcat19[[#This Row],[Pricing category ]],$H$3:$H$18,0),1)</f>
        <v xml:space="preserve">Professional Services </v>
      </c>
      <c r="H11" s="191" t="s">
        <v>277</v>
      </c>
      <c r="I11" s="192" t="s">
        <v>945</v>
      </c>
    </row>
    <row r="12" spans="1:9" hidden="1" x14ac:dyDescent="0.2">
      <c r="A12">
        <v>44</v>
      </c>
      <c r="B12" t="s">
        <v>959</v>
      </c>
      <c r="D12" t="s">
        <v>947</v>
      </c>
      <c r="E12" t="s">
        <v>92</v>
      </c>
      <c r="F12" t="str">
        <f>INDEX($I$3:$I$18,MATCH(jobcat19[[#This Row],[Pricing category ]],$H$3:$H$18,0),1)</f>
        <v xml:space="preserve">Professional Services </v>
      </c>
      <c r="H12" s="191" t="s">
        <v>960</v>
      </c>
      <c r="I12" s="192" t="s">
        <v>950</v>
      </c>
    </row>
    <row r="13" spans="1:9" x14ac:dyDescent="0.2">
      <c r="A13">
        <v>57</v>
      </c>
      <c r="B13" t="s">
        <v>273</v>
      </c>
      <c r="C13" t="s">
        <v>168</v>
      </c>
      <c r="D13" t="s">
        <v>274</v>
      </c>
      <c r="E13" t="s">
        <v>277</v>
      </c>
      <c r="F13" t="str">
        <f>INDEX($I$3:$I$18,MATCH(jobcat19[[#This Row],[Pricing category ]],$H$3:$H$18,0),1)</f>
        <v>Technical Services</v>
      </c>
      <c r="H13" s="191" t="s">
        <v>961</v>
      </c>
      <c r="I13" s="192" t="s">
        <v>950</v>
      </c>
    </row>
    <row r="14" spans="1:9" hidden="1" x14ac:dyDescent="0.2">
      <c r="A14">
        <v>60</v>
      </c>
      <c r="B14" t="s">
        <v>962</v>
      </c>
      <c r="C14" t="s">
        <v>152</v>
      </c>
      <c r="D14" t="s">
        <v>963</v>
      </c>
      <c r="E14" t="s">
        <v>347</v>
      </c>
      <c r="F14" t="str">
        <f>INDEX($I$3:$I$18,MATCH(jobcat19[[#This Row],[Pricing category ]],$H$3:$H$18,0),1)</f>
        <v xml:space="preserve">Professional Services </v>
      </c>
      <c r="H14" s="191" t="s">
        <v>964</v>
      </c>
      <c r="I14" s="192" t="s">
        <v>945</v>
      </c>
    </row>
    <row r="15" spans="1:9" x14ac:dyDescent="0.2">
      <c r="A15">
        <v>61</v>
      </c>
      <c r="B15" t="s">
        <v>374</v>
      </c>
      <c r="C15" t="s">
        <v>965</v>
      </c>
      <c r="D15" t="s">
        <v>966</v>
      </c>
      <c r="E15" s="191" t="s">
        <v>372</v>
      </c>
      <c r="F15" t="str">
        <f>INDEX($I$3:$I$18,MATCH(jobcat19[[#This Row],[Pricing category ]],$H$3:$H$18,0),1)</f>
        <v>Technical Services</v>
      </c>
      <c r="H15" s="191" t="s">
        <v>967</v>
      </c>
      <c r="I15" s="192" t="s">
        <v>945</v>
      </c>
    </row>
    <row r="16" spans="1:9" x14ac:dyDescent="0.2">
      <c r="A16">
        <v>63</v>
      </c>
      <c r="B16" t="s">
        <v>968</v>
      </c>
      <c r="C16" t="s">
        <v>155</v>
      </c>
      <c r="D16" t="s">
        <v>156</v>
      </c>
      <c r="E16" s="191" t="s">
        <v>372</v>
      </c>
      <c r="F16" t="str">
        <f>INDEX($I$3:$I$18,MATCH(jobcat19[[#This Row],[Pricing category ]],$H$3:$H$18,0),1)</f>
        <v>Technical Services</v>
      </c>
      <c r="H16" s="191" t="s">
        <v>969</v>
      </c>
      <c r="I16" s="192" t="s">
        <v>950</v>
      </c>
    </row>
    <row r="17" spans="1:9" x14ac:dyDescent="0.2">
      <c r="A17">
        <v>65</v>
      </c>
      <c r="B17" t="s">
        <v>970</v>
      </c>
      <c r="C17" t="s">
        <v>160</v>
      </c>
      <c r="D17" t="s">
        <v>971</v>
      </c>
      <c r="E17" s="191" t="s">
        <v>372</v>
      </c>
      <c r="F17" t="str">
        <f>INDEX($I$3:$I$18,MATCH(jobcat19[[#This Row],[Pricing category ]],$H$3:$H$18,0),1)</f>
        <v>Technical Services</v>
      </c>
      <c r="H17" s="191" t="s">
        <v>92</v>
      </c>
      <c r="I17" s="192" t="s">
        <v>950</v>
      </c>
    </row>
    <row r="18" spans="1:9" ht="13.5" hidden="1" thickBot="1" x14ac:dyDescent="0.25">
      <c r="A18">
        <v>87</v>
      </c>
      <c r="B18" t="s">
        <v>972</v>
      </c>
      <c r="C18" t="s">
        <v>165</v>
      </c>
      <c r="D18" t="s">
        <v>166</v>
      </c>
      <c r="E18" t="s">
        <v>347</v>
      </c>
      <c r="F18" t="str">
        <f>INDEX($I$3:$I$18,MATCH(jobcat19[[#This Row],[Pricing category ]],$H$3:$H$18,0),1)</f>
        <v xml:space="preserve">Professional Services </v>
      </c>
      <c r="H18" s="195" t="s">
        <v>973</v>
      </c>
      <c r="I18" s="196" t="s">
        <v>950</v>
      </c>
    </row>
    <row r="19" spans="1:9" x14ac:dyDescent="0.2">
      <c r="A19">
        <v>98</v>
      </c>
      <c r="B19" t="s">
        <v>974</v>
      </c>
      <c r="C19" t="s">
        <v>168</v>
      </c>
      <c r="D19" t="s">
        <v>975</v>
      </c>
      <c r="E19" s="191" t="s">
        <v>372</v>
      </c>
      <c r="F19" t="str">
        <f>INDEX($I$3:$I$18,MATCH(jobcat19[[#This Row],[Pricing category ]],$H$3:$H$18,0),1)</f>
        <v>Technical Services</v>
      </c>
    </row>
    <row r="20" spans="1:9" hidden="1" x14ac:dyDescent="0.2">
      <c r="A20">
        <v>101</v>
      </c>
      <c r="B20" t="s">
        <v>976</v>
      </c>
      <c r="C20" t="s">
        <v>172</v>
      </c>
      <c r="D20" t="s">
        <v>173</v>
      </c>
      <c r="E20" t="s">
        <v>347</v>
      </c>
      <c r="F20" t="str">
        <f>INDEX($I$3:$I$18,MATCH(jobcat19[[#This Row],[Pricing category ]],$H$3:$H$18,0),1)</f>
        <v xml:space="preserve">Professional Services </v>
      </c>
    </row>
    <row r="21" spans="1:9" x14ac:dyDescent="0.2">
      <c r="A21">
        <v>115</v>
      </c>
      <c r="B21" t="s">
        <v>977</v>
      </c>
      <c r="C21" t="s">
        <v>180</v>
      </c>
      <c r="D21" t="s">
        <v>975</v>
      </c>
      <c r="E21" s="191" t="s">
        <v>372</v>
      </c>
      <c r="F21" t="str">
        <f>INDEX($I$3:$I$18,MATCH(jobcat19[[#This Row],[Pricing category ]],$H$3:$H$18,0),1)</f>
        <v>Technical Services</v>
      </c>
    </row>
    <row r="22" spans="1:9" hidden="1" x14ac:dyDescent="0.2">
      <c r="A22">
        <v>117</v>
      </c>
      <c r="B22" t="s">
        <v>895</v>
      </c>
      <c r="C22" t="s">
        <v>177</v>
      </c>
      <c r="D22" t="s">
        <v>978</v>
      </c>
      <c r="E22" t="s">
        <v>347</v>
      </c>
      <c r="F22" t="str">
        <f>INDEX($I$3:$I$18,MATCH(jobcat19[[#This Row],[Pricing category ]],$H$3:$H$18,0),1)</f>
        <v xml:space="preserve">Professional Services </v>
      </c>
    </row>
    <row r="23" spans="1:9" x14ac:dyDescent="0.2">
      <c r="A23">
        <v>125</v>
      </c>
      <c r="B23" t="s">
        <v>979</v>
      </c>
      <c r="C23" t="s">
        <v>980</v>
      </c>
      <c r="D23" t="s">
        <v>981</v>
      </c>
      <c r="E23" s="191" t="s">
        <v>964</v>
      </c>
      <c r="F23" t="str">
        <f>INDEX($I$3:$I$18,MATCH(jobcat19[[#This Row],[Pricing category ]],$H$3:$H$18,0),1)</f>
        <v>Technical Services</v>
      </c>
    </row>
    <row r="24" spans="1:9" x14ac:dyDescent="0.2">
      <c r="A24">
        <v>133</v>
      </c>
      <c r="B24" t="s">
        <v>982</v>
      </c>
      <c r="C24" t="s">
        <v>184</v>
      </c>
      <c r="D24" t="s">
        <v>237</v>
      </c>
      <c r="E24" s="191" t="s">
        <v>372</v>
      </c>
      <c r="F24" t="str">
        <f>INDEX($I$3:$I$18,MATCH(jobcat19[[#This Row],[Pricing category ]],$H$3:$H$18,0),1)</f>
        <v>Technical Services</v>
      </c>
    </row>
    <row r="25" spans="1:9" x14ac:dyDescent="0.2">
      <c r="A25">
        <v>138</v>
      </c>
      <c r="B25" t="s">
        <v>983</v>
      </c>
      <c r="C25" t="s">
        <v>189</v>
      </c>
      <c r="D25" t="s">
        <v>237</v>
      </c>
      <c r="E25" s="191" t="s">
        <v>372</v>
      </c>
      <c r="F25" t="str">
        <f>INDEX($I$3:$I$18,MATCH(jobcat19[[#This Row],[Pricing category ]],$H$3:$H$18,0),1)</f>
        <v>Technical Services</v>
      </c>
    </row>
    <row r="26" spans="1:9" x14ac:dyDescent="0.2">
      <c r="A26">
        <v>142</v>
      </c>
      <c r="B26" t="s">
        <v>984</v>
      </c>
      <c r="C26" t="s">
        <v>200</v>
      </c>
      <c r="D26" t="s">
        <v>985</v>
      </c>
      <c r="E26" s="191" t="s">
        <v>372</v>
      </c>
      <c r="F26" t="str">
        <f>INDEX($I$3:$I$18,MATCH(jobcat19[[#This Row],[Pricing category ]],$H$3:$H$18,0),1)</f>
        <v>Technical Services</v>
      </c>
    </row>
    <row r="27" spans="1:9" hidden="1" x14ac:dyDescent="0.2">
      <c r="A27">
        <v>147</v>
      </c>
      <c r="B27" t="s">
        <v>986</v>
      </c>
      <c r="C27" t="s">
        <v>265</v>
      </c>
      <c r="D27" t="s">
        <v>266</v>
      </c>
      <c r="E27" s="191" t="s">
        <v>960</v>
      </c>
      <c r="F27" t="str">
        <f>INDEX($I$3:$I$18,MATCH(jobcat19[[#This Row],[Pricing category ]],$H$3:$H$18,0),1)</f>
        <v xml:space="preserve">Professional Services </v>
      </c>
    </row>
    <row r="28" spans="1:9" hidden="1" x14ac:dyDescent="0.2">
      <c r="A28">
        <v>153</v>
      </c>
      <c r="B28" t="s">
        <v>987</v>
      </c>
      <c r="C28" t="s">
        <v>197</v>
      </c>
      <c r="D28" t="s">
        <v>988</v>
      </c>
      <c r="E28" t="s">
        <v>347</v>
      </c>
      <c r="F28" t="str">
        <f>INDEX($I$3:$I$18,MATCH(jobcat19[[#This Row],[Pricing category ]],$H$3:$H$18,0),1)</f>
        <v xml:space="preserve">Professional Services </v>
      </c>
    </row>
    <row r="29" spans="1:9" x14ac:dyDescent="0.2">
      <c r="A29">
        <v>154</v>
      </c>
      <c r="B29" t="s">
        <v>989</v>
      </c>
      <c r="C29" t="s">
        <v>192</v>
      </c>
      <c r="D29" t="s">
        <v>990</v>
      </c>
      <c r="E29" s="191" t="s">
        <v>372</v>
      </c>
      <c r="F29" t="str">
        <f>INDEX($I$3:$I$18,MATCH(jobcat19[[#This Row],[Pricing category ]],$H$3:$H$18,0),1)</f>
        <v>Technical Services</v>
      </c>
    </row>
    <row r="30" spans="1:9" x14ac:dyDescent="0.2">
      <c r="A30">
        <v>165</v>
      </c>
      <c r="B30" t="s">
        <v>991</v>
      </c>
      <c r="C30" t="s">
        <v>205</v>
      </c>
      <c r="D30" t="s">
        <v>206</v>
      </c>
      <c r="E30" t="s">
        <v>953</v>
      </c>
      <c r="F30" t="str">
        <f>INDEX($I$3:$I$18,MATCH(jobcat19[[#This Row],[Pricing category ]],$H$3:$H$18,0),1)</f>
        <v>Technical Services</v>
      </c>
    </row>
    <row r="31" spans="1:9" x14ac:dyDescent="0.2">
      <c r="A31">
        <v>187</v>
      </c>
      <c r="B31" t="s">
        <v>992</v>
      </c>
      <c r="C31" t="s">
        <v>965</v>
      </c>
      <c r="D31" t="s">
        <v>993</v>
      </c>
      <c r="E31" s="191" t="s">
        <v>372</v>
      </c>
      <c r="F31" t="str">
        <f>INDEX($I$3:$I$18,MATCH(jobcat19[[#This Row],[Pricing category ]],$H$3:$H$18,0),1)</f>
        <v>Technical Services</v>
      </c>
    </row>
    <row r="32" spans="1:9" x14ac:dyDescent="0.2">
      <c r="A32">
        <v>190</v>
      </c>
      <c r="B32" t="s">
        <v>994</v>
      </c>
      <c r="C32" t="s">
        <v>995</v>
      </c>
      <c r="D32" t="s">
        <v>237</v>
      </c>
      <c r="E32" s="191" t="s">
        <v>372</v>
      </c>
      <c r="F32" t="str">
        <f>INDEX($I$3:$I$18,MATCH(jobcat19[[#This Row],[Pricing category ]],$H$3:$H$18,0),1)</f>
        <v>Technical Services</v>
      </c>
    </row>
    <row r="33" spans="1:6" x14ac:dyDescent="0.2">
      <c r="A33">
        <v>196</v>
      </c>
      <c r="B33" t="s">
        <v>996</v>
      </c>
      <c r="C33" t="s">
        <v>997</v>
      </c>
      <c r="D33" t="s">
        <v>372</v>
      </c>
      <c r="E33" s="191" t="s">
        <v>372</v>
      </c>
      <c r="F33" t="str">
        <f>INDEX($I$3:$I$18,MATCH(jobcat19[[#This Row],[Pricing category ]],$H$3:$H$18,0),1)</f>
        <v>Technical Services</v>
      </c>
    </row>
    <row r="34" spans="1:6" hidden="1" x14ac:dyDescent="0.2">
      <c r="A34">
        <v>197</v>
      </c>
      <c r="B34" t="s">
        <v>998</v>
      </c>
      <c r="C34" t="s">
        <v>218</v>
      </c>
      <c r="D34" t="s">
        <v>219</v>
      </c>
      <c r="E34" t="s">
        <v>92</v>
      </c>
      <c r="F34" t="str">
        <f>INDEX($I$3:$I$18,MATCH(jobcat19[[#This Row],[Pricing category ]],$H$3:$H$18,0),1)</f>
        <v xml:space="preserve">Professional Services </v>
      </c>
    </row>
    <row r="35" spans="1:6" hidden="1" x14ac:dyDescent="0.2">
      <c r="A35">
        <v>200</v>
      </c>
      <c r="B35" t="s">
        <v>999</v>
      </c>
      <c r="C35" t="s">
        <v>210</v>
      </c>
      <c r="D35" t="s">
        <v>211</v>
      </c>
      <c r="E35" t="s">
        <v>347</v>
      </c>
      <c r="F35" t="str">
        <f>INDEX($I$3:$I$18,MATCH(jobcat19[[#This Row],[Pricing category ]],$H$3:$H$18,0),1)</f>
        <v xml:space="preserve">Professional Services </v>
      </c>
    </row>
    <row r="36" spans="1:6" hidden="1" x14ac:dyDescent="0.2">
      <c r="A36">
        <v>202</v>
      </c>
      <c r="B36" t="s">
        <v>1000</v>
      </c>
      <c r="C36" t="s">
        <v>225</v>
      </c>
      <c r="D36" t="s">
        <v>1001</v>
      </c>
      <c r="E36" t="s">
        <v>92</v>
      </c>
      <c r="F36" t="str">
        <f>INDEX($I$3:$I$18,MATCH(jobcat19[[#This Row],[Pricing category ]],$H$3:$H$18,0),1)</f>
        <v xml:space="preserve">Professional Services </v>
      </c>
    </row>
    <row r="37" spans="1:6" x14ac:dyDescent="0.2">
      <c r="A37">
        <v>203</v>
      </c>
      <c r="B37" t="s">
        <v>1002</v>
      </c>
      <c r="C37" t="s">
        <v>515</v>
      </c>
      <c r="D37" t="s">
        <v>971</v>
      </c>
      <c r="E37" s="191" t="s">
        <v>372</v>
      </c>
      <c r="F37" t="str">
        <f>INDEX($I$3:$I$18,MATCH(jobcat19[[#This Row],[Pricing category ]],$H$3:$H$18,0),1)</f>
        <v>Technical Services</v>
      </c>
    </row>
    <row r="38" spans="1:6" x14ac:dyDescent="0.2">
      <c r="A38">
        <v>208</v>
      </c>
      <c r="B38" t="s">
        <v>1003</v>
      </c>
      <c r="C38" t="s">
        <v>300</v>
      </c>
      <c r="D38" t="s">
        <v>993</v>
      </c>
      <c r="E38" s="191" t="s">
        <v>372</v>
      </c>
      <c r="F38" t="str">
        <f>INDEX($I$3:$I$18,MATCH(jobcat19[[#This Row],[Pricing category ]],$H$3:$H$18,0),1)</f>
        <v>Technical Services</v>
      </c>
    </row>
    <row r="39" spans="1:6" x14ac:dyDescent="0.2">
      <c r="A39">
        <v>211</v>
      </c>
      <c r="B39" t="s">
        <v>1004</v>
      </c>
      <c r="C39" t="s">
        <v>215</v>
      </c>
      <c r="D39" t="s">
        <v>237</v>
      </c>
      <c r="E39" s="191" t="s">
        <v>372</v>
      </c>
      <c r="F39" t="str">
        <f>INDEX($I$3:$I$18,MATCH(jobcat19[[#This Row],[Pricing category ]],$H$3:$H$18,0),1)</f>
        <v>Technical Services</v>
      </c>
    </row>
    <row r="40" spans="1:6" x14ac:dyDescent="0.2">
      <c r="A40">
        <v>214</v>
      </c>
      <c r="B40" t="s">
        <v>1005</v>
      </c>
      <c r="C40" t="s">
        <v>1006</v>
      </c>
      <c r="D40" t="s">
        <v>993</v>
      </c>
      <c r="E40" s="191" t="s">
        <v>372</v>
      </c>
      <c r="F40" t="str">
        <f>INDEX($I$3:$I$18,MATCH(jobcat19[[#This Row],[Pricing category ]],$H$3:$H$18,0),1)</f>
        <v>Technical Services</v>
      </c>
    </row>
    <row r="41" spans="1:6" hidden="1" x14ac:dyDescent="0.2">
      <c r="A41">
        <v>219</v>
      </c>
      <c r="B41" t="s">
        <v>1007</v>
      </c>
      <c r="C41" t="s">
        <v>636</v>
      </c>
      <c r="D41" t="s">
        <v>114</v>
      </c>
      <c r="E41" t="s">
        <v>347</v>
      </c>
      <c r="F41" t="str">
        <f>INDEX($I$3:$I$18,MATCH(jobcat19[[#This Row],[Pricing category ]],$H$3:$H$18,0),1)</f>
        <v xml:space="preserve">Professional Services </v>
      </c>
    </row>
    <row r="42" spans="1:6" x14ac:dyDescent="0.2">
      <c r="A42">
        <v>221</v>
      </c>
      <c r="B42" t="s">
        <v>1008</v>
      </c>
      <c r="C42" t="s">
        <v>1009</v>
      </c>
      <c r="D42" t="s">
        <v>993</v>
      </c>
      <c r="E42" s="191" t="s">
        <v>372</v>
      </c>
      <c r="F42" t="str">
        <f>INDEX($I$3:$I$18,MATCH(jobcat19[[#This Row],[Pricing category ]],$H$3:$H$18,0),1)</f>
        <v>Technical Services</v>
      </c>
    </row>
    <row r="43" spans="1:6" hidden="1" x14ac:dyDescent="0.2">
      <c r="A43">
        <v>236</v>
      </c>
      <c r="B43" t="s">
        <v>1010</v>
      </c>
      <c r="C43" t="s">
        <v>1011</v>
      </c>
      <c r="D43" t="s">
        <v>1012</v>
      </c>
      <c r="E43" t="s">
        <v>92</v>
      </c>
      <c r="F43" t="str">
        <f>INDEX($I$3:$I$18,MATCH(jobcat19[[#This Row],[Pricing category ]],$H$3:$H$18,0),1)</f>
        <v xml:space="preserve">Professional Services </v>
      </c>
    </row>
    <row r="44" spans="1:6" x14ac:dyDescent="0.2">
      <c r="A44">
        <v>243</v>
      </c>
      <c r="B44" t="s">
        <v>1013</v>
      </c>
      <c r="C44" t="s">
        <v>1014</v>
      </c>
      <c r="D44" t="s">
        <v>318</v>
      </c>
      <c r="E44" t="s">
        <v>953</v>
      </c>
      <c r="F44" t="str">
        <f>INDEX($I$3:$I$18,MATCH(jobcat19[[#This Row],[Pricing category ]],$H$3:$H$18,0),1)</f>
        <v>Technical Services</v>
      </c>
    </row>
    <row r="45" spans="1:6" hidden="1" x14ac:dyDescent="0.2">
      <c r="A45">
        <v>245</v>
      </c>
      <c r="B45" t="s">
        <v>1015</v>
      </c>
      <c r="C45" t="s">
        <v>247</v>
      </c>
      <c r="D45" t="s">
        <v>1016</v>
      </c>
      <c r="E45" t="s">
        <v>347</v>
      </c>
      <c r="F45" t="str">
        <f>INDEX($I$3:$I$18,MATCH(jobcat19[[#This Row],[Pricing category ]],$H$3:$H$18,0),1)</f>
        <v xml:space="preserve">Professional Services </v>
      </c>
    </row>
    <row r="46" spans="1:6" hidden="1" x14ac:dyDescent="0.2">
      <c r="A46">
        <v>247</v>
      </c>
      <c r="B46" t="s">
        <v>1017</v>
      </c>
      <c r="C46" t="s">
        <v>1018</v>
      </c>
      <c r="D46" t="s">
        <v>1019</v>
      </c>
      <c r="E46" t="s">
        <v>92</v>
      </c>
      <c r="F46" t="str">
        <f>INDEX($I$3:$I$18,MATCH(jobcat19[[#This Row],[Pricing category ]],$H$3:$H$18,0),1)</f>
        <v xml:space="preserve">Professional Services </v>
      </c>
    </row>
    <row r="47" spans="1:6" hidden="1" x14ac:dyDescent="0.2">
      <c r="A47">
        <v>249</v>
      </c>
      <c r="B47" t="s">
        <v>1020</v>
      </c>
      <c r="C47" t="s">
        <v>242</v>
      </c>
      <c r="D47" t="s">
        <v>1021</v>
      </c>
      <c r="E47" t="s">
        <v>347</v>
      </c>
      <c r="F47" t="str">
        <f>INDEX($I$3:$I$18,MATCH(jobcat19[[#This Row],[Pricing category ]],$H$3:$H$18,0),1)</f>
        <v xml:space="preserve">Professional Services </v>
      </c>
    </row>
    <row r="48" spans="1:6" x14ac:dyDescent="0.2">
      <c r="A48">
        <v>250</v>
      </c>
      <c r="B48" t="s">
        <v>1022</v>
      </c>
      <c r="C48" t="s">
        <v>597</v>
      </c>
      <c r="D48" t="s">
        <v>1023</v>
      </c>
      <c r="E48" t="s">
        <v>953</v>
      </c>
      <c r="F48" t="str">
        <f>INDEX($I$3:$I$18,MATCH(jobcat19[[#This Row],[Pricing category ]],$H$3:$H$18,0),1)</f>
        <v>Technical Services</v>
      </c>
    </row>
    <row r="49" spans="1:6" hidden="1" x14ac:dyDescent="0.2">
      <c r="A49">
        <v>251</v>
      </c>
      <c r="B49" t="s">
        <v>1024</v>
      </c>
      <c r="C49" t="s">
        <v>1025</v>
      </c>
      <c r="D49" t="s">
        <v>114</v>
      </c>
      <c r="E49" t="s">
        <v>92</v>
      </c>
      <c r="F49" t="str">
        <f>INDEX($I$3:$I$18,MATCH(jobcat19[[#This Row],[Pricing category ]],$H$3:$H$18,0),1)</f>
        <v xml:space="preserve">Professional Services </v>
      </c>
    </row>
    <row r="50" spans="1:6" hidden="1" x14ac:dyDescent="0.2">
      <c r="A50">
        <v>262</v>
      </c>
      <c r="B50" t="s">
        <v>1026</v>
      </c>
      <c r="C50" t="s">
        <v>425</v>
      </c>
      <c r="D50" t="s">
        <v>1027</v>
      </c>
      <c r="E50" s="191" t="s">
        <v>347</v>
      </c>
      <c r="F50" t="str">
        <f>INDEX($I$3:$I$18,MATCH(jobcat19[[#This Row],[Pricing category ]],$H$3:$H$18,0),1)</f>
        <v xml:space="preserve">Professional Services </v>
      </c>
    </row>
    <row r="51" spans="1:6" x14ac:dyDescent="0.2">
      <c r="A51">
        <v>264</v>
      </c>
      <c r="B51" t="s">
        <v>1028</v>
      </c>
      <c r="C51" t="s">
        <v>252</v>
      </c>
      <c r="D51" t="s">
        <v>169</v>
      </c>
      <c r="E51" s="191" t="s">
        <v>372</v>
      </c>
      <c r="F51" t="str">
        <f>INDEX($I$3:$I$18,MATCH(jobcat19[[#This Row],[Pricing category ]],$H$3:$H$18,0),1)</f>
        <v>Technical Services</v>
      </c>
    </row>
    <row r="52" spans="1:6" x14ac:dyDescent="0.2">
      <c r="A52">
        <v>265</v>
      </c>
      <c r="B52" t="s">
        <v>1029</v>
      </c>
      <c r="C52" t="s">
        <v>255</v>
      </c>
      <c r="D52" t="s">
        <v>1030</v>
      </c>
      <c r="E52" t="s">
        <v>372</v>
      </c>
      <c r="F52" t="str">
        <f>INDEX($I$3:$I$18,MATCH(jobcat19[[#This Row],[Pricing category ]],$H$3:$H$18,0),1)</f>
        <v>Technical Services</v>
      </c>
    </row>
    <row r="53" spans="1:6" hidden="1" x14ac:dyDescent="0.2">
      <c r="A53">
        <v>266</v>
      </c>
      <c r="B53" t="s">
        <v>1031</v>
      </c>
      <c r="C53" t="s">
        <v>1032</v>
      </c>
      <c r="D53" t="s">
        <v>1033</v>
      </c>
      <c r="E53" t="s">
        <v>956</v>
      </c>
      <c r="F53" t="str">
        <f>INDEX($I$3:$I$18,MATCH(jobcat19[[#This Row],[Pricing category ]],$H$3:$H$18,0),1)</f>
        <v xml:space="preserve">Professional Services </v>
      </c>
    </row>
    <row r="54" spans="1:6" hidden="1" x14ac:dyDescent="0.2">
      <c r="A54">
        <v>267</v>
      </c>
      <c r="B54" t="s">
        <v>1034</v>
      </c>
      <c r="C54" t="s">
        <v>259</v>
      </c>
      <c r="D54" t="s">
        <v>260</v>
      </c>
      <c r="E54" s="191" t="s">
        <v>92</v>
      </c>
      <c r="F54" t="str">
        <f>INDEX($I$3:$I$18,MATCH(jobcat19[[#This Row],[Pricing category ]],$H$3:$H$18,0),1)</f>
        <v xml:space="preserve">Professional Services </v>
      </c>
    </row>
    <row r="55" spans="1:6" x14ac:dyDescent="0.2">
      <c r="A55">
        <v>270</v>
      </c>
      <c r="B55" t="s">
        <v>1035</v>
      </c>
      <c r="C55" t="s">
        <v>1011</v>
      </c>
      <c r="D55" t="s">
        <v>372</v>
      </c>
      <c r="E55" t="s">
        <v>372</v>
      </c>
      <c r="F55" t="str">
        <f>INDEX($I$3:$I$18,MATCH(jobcat19[[#This Row],[Pricing category ]],$H$3:$H$18,0),1)</f>
        <v>Technical Services</v>
      </c>
    </row>
    <row r="56" spans="1:6" hidden="1" x14ac:dyDescent="0.2">
      <c r="A56">
        <v>272</v>
      </c>
      <c r="B56" t="s">
        <v>1036</v>
      </c>
      <c r="C56" t="s">
        <v>1037</v>
      </c>
      <c r="D56" t="s">
        <v>346</v>
      </c>
      <c r="E56" t="s">
        <v>347</v>
      </c>
      <c r="F56" t="str">
        <f>INDEX($I$3:$I$18,MATCH(jobcat19[[#This Row],[Pricing category ]],$H$3:$H$18,0),1)</f>
        <v xml:space="preserve">Professional Services </v>
      </c>
    </row>
    <row r="57" spans="1:6" x14ac:dyDescent="0.2">
      <c r="A57">
        <v>273</v>
      </c>
      <c r="B57" t="s">
        <v>1038</v>
      </c>
      <c r="C57" t="s">
        <v>1039</v>
      </c>
      <c r="D57" t="s">
        <v>372</v>
      </c>
      <c r="E57" t="s">
        <v>372</v>
      </c>
      <c r="F57" t="str">
        <f>INDEX($I$3:$I$18,MATCH(jobcat19[[#This Row],[Pricing category ]],$H$3:$H$18,0),1)</f>
        <v>Technical Services</v>
      </c>
    </row>
    <row r="58" spans="1:6" x14ac:dyDescent="0.2">
      <c r="A58">
        <v>274</v>
      </c>
      <c r="B58" t="s">
        <v>1040</v>
      </c>
      <c r="C58" t="s">
        <v>233</v>
      </c>
      <c r="D58" t="s">
        <v>234</v>
      </c>
      <c r="E58" s="191" t="s">
        <v>964</v>
      </c>
      <c r="F58" t="str">
        <f>INDEX($I$3:$I$18,MATCH(jobcat19[[#This Row],[Pricing category ]],$H$3:$H$18,0),1)</f>
        <v>Technical Services</v>
      </c>
    </row>
    <row r="59" spans="1:6" x14ac:dyDescent="0.2">
      <c r="A59">
        <v>275</v>
      </c>
      <c r="B59" t="s">
        <v>1041</v>
      </c>
      <c r="C59" t="s">
        <v>300</v>
      </c>
      <c r="D59" t="s">
        <v>206</v>
      </c>
      <c r="E59" s="191" t="s">
        <v>953</v>
      </c>
      <c r="F59" t="str">
        <f>INDEX($I$3:$I$18,MATCH(jobcat19[[#This Row],[Pricing category ]],$H$3:$H$18,0),1)</f>
        <v>Technical Services</v>
      </c>
    </row>
    <row r="60" spans="1:6" hidden="1" x14ac:dyDescent="0.2">
      <c r="A60">
        <v>276</v>
      </c>
      <c r="B60" t="s">
        <v>1042</v>
      </c>
      <c r="C60" t="s">
        <v>295</v>
      </c>
      <c r="D60" t="s">
        <v>1043</v>
      </c>
      <c r="E60" t="s">
        <v>92</v>
      </c>
      <c r="F60" t="str">
        <f>INDEX($I$3:$I$18,MATCH(jobcat19[[#This Row],[Pricing category ]],$H$3:$H$18,0),1)</f>
        <v xml:space="preserve">Professional Services </v>
      </c>
    </row>
    <row r="61" spans="1:6" x14ac:dyDescent="0.2">
      <c r="A61">
        <v>277</v>
      </c>
      <c r="B61" t="s">
        <v>1044</v>
      </c>
      <c r="C61" t="s">
        <v>236</v>
      </c>
      <c r="D61" t="s">
        <v>975</v>
      </c>
      <c r="E61" t="s">
        <v>372</v>
      </c>
      <c r="F61" t="str">
        <f>INDEX($I$3:$I$18,MATCH(jobcat19[[#This Row],[Pricing category ]],$H$3:$H$18,0),1)</f>
        <v>Technical Services</v>
      </c>
    </row>
    <row r="62" spans="1:6" x14ac:dyDescent="0.2">
      <c r="A62">
        <v>278</v>
      </c>
      <c r="B62" t="s">
        <v>1045</v>
      </c>
      <c r="C62" t="s">
        <v>1046</v>
      </c>
      <c r="D62" t="s">
        <v>1047</v>
      </c>
      <c r="E62" t="s">
        <v>372</v>
      </c>
      <c r="F62" t="str">
        <f>INDEX($I$3:$I$18,MATCH(jobcat19[[#This Row],[Pricing category ]],$H$3:$H$18,0),1)</f>
        <v>Technical Services</v>
      </c>
    </row>
    <row r="63" spans="1:6" x14ac:dyDescent="0.2">
      <c r="A63">
        <v>279</v>
      </c>
      <c r="B63" t="s">
        <v>1048</v>
      </c>
      <c r="C63" t="s">
        <v>1049</v>
      </c>
      <c r="D63" t="s">
        <v>1047</v>
      </c>
      <c r="E63" s="191" t="s">
        <v>372</v>
      </c>
      <c r="F63" t="str">
        <f>INDEX($I$3:$I$18,MATCH(jobcat19[[#This Row],[Pricing category ]],$H$3:$H$18,0),1)</f>
        <v>Technical Services</v>
      </c>
    </row>
    <row r="64" spans="1:6" x14ac:dyDescent="0.2">
      <c r="A64">
        <v>280</v>
      </c>
      <c r="B64" t="s">
        <v>1050</v>
      </c>
      <c r="C64" t="s">
        <v>1051</v>
      </c>
      <c r="D64" t="s">
        <v>318</v>
      </c>
      <c r="E64" s="191" t="s">
        <v>953</v>
      </c>
      <c r="F64" t="str">
        <f>INDEX($I$3:$I$18,MATCH(jobcat19[[#This Row],[Pricing category ]],$H$3:$H$18,0),1)</f>
        <v>Technical Services</v>
      </c>
    </row>
    <row r="65" spans="1:6" hidden="1" x14ac:dyDescent="0.2">
      <c r="A65">
        <v>281</v>
      </c>
      <c r="B65" t="s">
        <v>1052</v>
      </c>
      <c r="C65" t="s">
        <v>1053</v>
      </c>
      <c r="D65" t="s">
        <v>1033</v>
      </c>
      <c r="E65" t="s">
        <v>956</v>
      </c>
      <c r="F65" t="str">
        <f>INDEX($I$3:$I$18,MATCH(jobcat19[[#This Row],[Pricing category ]],$H$3:$H$18,0),1)</f>
        <v xml:space="preserve">Professional Services </v>
      </c>
    </row>
    <row r="66" spans="1:6" x14ac:dyDescent="0.2">
      <c r="A66">
        <v>285</v>
      </c>
      <c r="B66" t="s">
        <v>1054</v>
      </c>
      <c r="C66" t="s">
        <v>548</v>
      </c>
      <c r="D66" t="s">
        <v>169</v>
      </c>
      <c r="E66" s="191" t="s">
        <v>372</v>
      </c>
      <c r="F66" t="str">
        <f>INDEX($I$3:$I$18,MATCH(jobcat19[[#This Row],[Pricing category ]],$H$3:$H$18,0),1)</f>
        <v>Technical Services</v>
      </c>
    </row>
    <row r="67" spans="1:6" x14ac:dyDescent="0.2">
      <c r="A67">
        <v>286</v>
      </c>
      <c r="B67" t="s">
        <v>1055</v>
      </c>
      <c r="C67" t="s">
        <v>1056</v>
      </c>
      <c r="D67" t="s">
        <v>432</v>
      </c>
      <c r="E67" s="191" t="s">
        <v>372</v>
      </c>
      <c r="F67" t="str">
        <f>INDEX($I$3:$I$18,MATCH(jobcat19[[#This Row],[Pricing category ]],$H$3:$H$18,0),1)</f>
        <v>Technical Services</v>
      </c>
    </row>
    <row r="68" spans="1:6" x14ac:dyDescent="0.2">
      <c r="A68">
        <v>287</v>
      </c>
      <c r="B68" t="s">
        <v>1057</v>
      </c>
      <c r="C68" t="s">
        <v>1058</v>
      </c>
      <c r="D68" t="s">
        <v>318</v>
      </c>
      <c r="E68" s="191" t="s">
        <v>953</v>
      </c>
      <c r="F68" t="str">
        <f>INDEX($I$3:$I$18,MATCH(jobcat19[[#This Row],[Pricing category ]],$H$3:$H$18,0),1)</f>
        <v>Technical Services</v>
      </c>
    </row>
    <row r="69" spans="1:6" x14ac:dyDescent="0.2">
      <c r="A69">
        <v>288</v>
      </c>
      <c r="B69" t="s">
        <v>1059</v>
      </c>
      <c r="C69" t="s">
        <v>1060</v>
      </c>
      <c r="D69" t="s">
        <v>169</v>
      </c>
      <c r="E69" t="s">
        <v>372</v>
      </c>
      <c r="F69" t="str">
        <f>INDEX($I$3:$I$18,MATCH(jobcat19[[#This Row],[Pricing category ]],$H$3:$H$18,0),1)</f>
        <v>Technical Services</v>
      </c>
    </row>
    <row r="70" spans="1:6" hidden="1" x14ac:dyDescent="0.2">
      <c r="A70">
        <v>290</v>
      </c>
      <c r="B70" t="s">
        <v>1061</v>
      </c>
      <c r="C70" t="s">
        <v>1062</v>
      </c>
      <c r="D70" t="s">
        <v>1063</v>
      </c>
      <c r="E70" s="191" t="s">
        <v>92</v>
      </c>
      <c r="F70" t="str">
        <f>INDEX($I$3:$I$18,MATCH(jobcat19[[#This Row],[Pricing category ]],$H$3:$H$18,0),1)</f>
        <v xml:space="preserve">Professional Services </v>
      </c>
    </row>
    <row r="71" spans="1:6" hidden="1" x14ac:dyDescent="0.2">
      <c r="A71">
        <v>291</v>
      </c>
      <c r="B71" t="s">
        <v>1064</v>
      </c>
      <c r="C71" t="s">
        <v>1018</v>
      </c>
      <c r="D71" t="s">
        <v>1065</v>
      </c>
      <c r="E71" s="191" t="s">
        <v>118</v>
      </c>
      <c r="F71" t="str">
        <f>INDEX($I$3:$I$18,MATCH(jobcat19[[#This Row],[Pricing category ]],$H$3:$H$18,0),1)</f>
        <v xml:space="preserve">Professional Services </v>
      </c>
    </row>
    <row r="72" spans="1:6" x14ac:dyDescent="0.2">
      <c r="A72">
        <v>292</v>
      </c>
      <c r="B72" t="s">
        <v>1066</v>
      </c>
      <c r="C72" t="s">
        <v>1067</v>
      </c>
      <c r="D72" t="s">
        <v>169</v>
      </c>
      <c r="E72" t="s">
        <v>372</v>
      </c>
      <c r="F72" t="str">
        <f>INDEX($I$3:$I$18,MATCH(jobcat19[[#This Row],[Pricing category ]],$H$3:$H$18,0),1)</f>
        <v>Technical Services</v>
      </c>
    </row>
    <row r="73" spans="1:6" x14ac:dyDescent="0.2">
      <c r="A73">
        <v>293</v>
      </c>
      <c r="B73" t="s">
        <v>1068</v>
      </c>
      <c r="C73" t="s">
        <v>1069</v>
      </c>
      <c r="D73" t="s">
        <v>169</v>
      </c>
      <c r="E73" t="s">
        <v>372</v>
      </c>
      <c r="F73" t="str">
        <f>INDEX($I$3:$I$18,MATCH(jobcat19[[#This Row],[Pricing category ]],$H$3:$H$18,0),1)</f>
        <v>Technical Services</v>
      </c>
    </row>
    <row r="74" spans="1:6" x14ac:dyDescent="0.2">
      <c r="A74">
        <v>294</v>
      </c>
      <c r="B74" t="s">
        <v>1070</v>
      </c>
      <c r="C74" t="s">
        <v>165</v>
      </c>
      <c r="D74" t="s">
        <v>1071</v>
      </c>
      <c r="E74" s="191" t="s">
        <v>967</v>
      </c>
      <c r="F74" t="str">
        <f>INDEX($I$3:$I$18,MATCH(jobcat19[[#This Row],[Pricing category ]],$H$3:$H$18,0),1)</f>
        <v>Technical Services</v>
      </c>
    </row>
    <row r="75" spans="1:6" x14ac:dyDescent="0.2">
      <c r="A75">
        <v>295</v>
      </c>
      <c r="B75" t="s">
        <v>1072</v>
      </c>
      <c r="C75" t="s">
        <v>1073</v>
      </c>
      <c r="D75" t="s">
        <v>169</v>
      </c>
      <c r="E75" s="191" t="s">
        <v>372</v>
      </c>
      <c r="F75" t="str">
        <f>INDEX($I$3:$I$18,MATCH(jobcat19[[#This Row],[Pricing category ]],$H$3:$H$18,0),1)</f>
        <v>Technical Services</v>
      </c>
    </row>
    <row r="76" spans="1:6" hidden="1" x14ac:dyDescent="0.2">
      <c r="A76">
        <v>296</v>
      </c>
      <c r="B76" t="s">
        <v>1074</v>
      </c>
      <c r="C76" t="s">
        <v>1075</v>
      </c>
      <c r="D76" t="s">
        <v>114</v>
      </c>
      <c r="E76" s="191" t="s">
        <v>92</v>
      </c>
      <c r="F76" t="str">
        <f>INDEX($I$3:$I$18,MATCH(jobcat19[[#This Row],[Pricing category ]],$H$3:$H$18,0),1)</f>
        <v xml:space="preserve">Professional Services </v>
      </c>
    </row>
    <row r="77" spans="1:6" hidden="1" x14ac:dyDescent="0.2">
      <c r="A77">
        <v>297</v>
      </c>
      <c r="B77" t="s">
        <v>1076</v>
      </c>
      <c r="C77" t="s">
        <v>1077</v>
      </c>
      <c r="D77" t="s">
        <v>114</v>
      </c>
      <c r="E77" t="s">
        <v>92</v>
      </c>
      <c r="F77" t="str">
        <f>INDEX($I$3:$I$18,MATCH(jobcat19[[#This Row],[Pricing category ]],$H$3:$H$18,0),1)</f>
        <v xml:space="preserve">Professional Services </v>
      </c>
    </row>
    <row r="78" spans="1:6" hidden="1" x14ac:dyDescent="0.2">
      <c r="A78">
        <v>298</v>
      </c>
      <c r="B78" t="s">
        <v>768</v>
      </c>
      <c r="C78" t="s">
        <v>612</v>
      </c>
      <c r="D78" t="s">
        <v>1078</v>
      </c>
      <c r="E78" t="s">
        <v>960</v>
      </c>
      <c r="F78" t="str">
        <f>INDEX($I$3:$I$18,MATCH(jobcat19[[#This Row],[Pricing category ]],$H$3:$H$18,0),1)</f>
        <v xml:space="preserve">Professional Services </v>
      </c>
    </row>
    <row r="79" spans="1:6" x14ac:dyDescent="0.2">
      <c r="A79">
        <v>299</v>
      </c>
      <c r="B79" t="s">
        <v>1079</v>
      </c>
      <c r="C79" t="s">
        <v>1080</v>
      </c>
      <c r="D79" t="s">
        <v>318</v>
      </c>
      <c r="E79" t="s">
        <v>953</v>
      </c>
      <c r="F79" t="str">
        <f>INDEX($I$3:$I$18,MATCH(jobcat19[[#This Row],[Pricing category ]],$H$3:$H$18,0),1)</f>
        <v>Technical Services</v>
      </c>
    </row>
    <row r="80" spans="1:6" x14ac:dyDescent="0.2">
      <c r="A80">
        <v>300</v>
      </c>
      <c r="B80" t="s">
        <v>1081</v>
      </c>
      <c r="C80" t="s">
        <v>548</v>
      </c>
      <c r="D80" t="s">
        <v>169</v>
      </c>
      <c r="E80" t="s">
        <v>372</v>
      </c>
      <c r="F80" t="str">
        <f>INDEX($I$3:$I$18,MATCH(jobcat19[[#This Row],[Pricing category ]],$H$3:$H$18,0),1)</f>
        <v>Technical Services</v>
      </c>
    </row>
    <row r="81" spans="1:6" x14ac:dyDescent="0.2">
      <c r="A81">
        <v>303</v>
      </c>
      <c r="B81" t="s">
        <v>1082</v>
      </c>
      <c r="C81" t="s">
        <v>662</v>
      </c>
      <c r="D81" t="s">
        <v>990</v>
      </c>
      <c r="E81" s="191" t="s">
        <v>372</v>
      </c>
      <c r="F81" t="str">
        <f>INDEX($I$3:$I$18,MATCH(jobcat19[[#This Row],[Pricing category ]],$H$3:$H$18,0),1)</f>
        <v>Technical Services</v>
      </c>
    </row>
    <row r="82" spans="1:6" hidden="1" x14ac:dyDescent="0.2">
      <c r="A82">
        <v>304</v>
      </c>
      <c r="B82" t="s">
        <v>1083</v>
      </c>
      <c r="C82" t="s">
        <v>1084</v>
      </c>
      <c r="D82" t="s">
        <v>1033</v>
      </c>
      <c r="E82" t="s">
        <v>956</v>
      </c>
      <c r="F82" t="str">
        <f>INDEX($I$3:$I$18,MATCH(jobcat19[[#This Row],[Pricing category ]],$H$3:$H$18,0),1)</f>
        <v xml:space="preserve">Professional Services </v>
      </c>
    </row>
    <row r="83" spans="1:6" x14ac:dyDescent="0.2">
      <c r="A83">
        <v>305</v>
      </c>
      <c r="B83" t="s">
        <v>1085</v>
      </c>
      <c r="C83" t="s">
        <v>686</v>
      </c>
      <c r="D83" t="s">
        <v>206</v>
      </c>
      <c r="E83" t="s">
        <v>953</v>
      </c>
      <c r="F83" t="str">
        <f>INDEX($I$3:$I$18,MATCH(jobcat19[[#This Row],[Pricing category ]],$H$3:$H$18,0),1)</f>
        <v>Technical Services</v>
      </c>
    </row>
    <row r="84" spans="1:6" x14ac:dyDescent="0.2">
      <c r="A84">
        <v>306</v>
      </c>
      <c r="B84" t="s">
        <v>987</v>
      </c>
      <c r="C84" t="s">
        <v>295</v>
      </c>
      <c r="D84" t="s">
        <v>237</v>
      </c>
      <c r="E84" t="s">
        <v>372</v>
      </c>
      <c r="F84" t="str">
        <f>INDEX($I$3:$I$18,MATCH(jobcat19[[#This Row],[Pricing category ]],$H$3:$H$18,0),1)</f>
        <v>Technical Services</v>
      </c>
    </row>
    <row r="85" spans="1:6" x14ac:dyDescent="0.2">
      <c r="A85">
        <v>307</v>
      </c>
      <c r="B85" t="s">
        <v>1086</v>
      </c>
      <c r="C85" t="s">
        <v>1087</v>
      </c>
      <c r="D85" t="s">
        <v>1088</v>
      </c>
      <c r="E85" t="s">
        <v>372</v>
      </c>
      <c r="F85" t="str">
        <f>INDEX($I$3:$I$18,MATCH(jobcat19[[#This Row],[Pricing category ]],$H$3:$H$18,0),1)</f>
        <v>Technical Services</v>
      </c>
    </row>
    <row r="86" spans="1:6" x14ac:dyDescent="0.2">
      <c r="A86">
        <v>308</v>
      </c>
      <c r="B86" t="s">
        <v>1089</v>
      </c>
      <c r="C86" t="s">
        <v>290</v>
      </c>
      <c r="D86" t="s">
        <v>169</v>
      </c>
      <c r="E86" s="191" t="s">
        <v>372</v>
      </c>
      <c r="F86" t="str">
        <f>INDEX($I$3:$I$18,MATCH(jobcat19[[#This Row],[Pricing category ]],$H$3:$H$18,0),1)</f>
        <v>Technical Services</v>
      </c>
    </row>
    <row r="87" spans="1:6" x14ac:dyDescent="0.2">
      <c r="A87">
        <v>309</v>
      </c>
      <c r="B87" t="s">
        <v>1090</v>
      </c>
      <c r="C87" t="s">
        <v>1091</v>
      </c>
      <c r="D87" t="s">
        <v>1092</v>
      </c>
      <c r="E87" s="191" t="s">
        <v>967</v>
      </c>
      <c r="F87" t="str">
        <f>INDEX($I$3:$I$18,MATCH(jobcat19[[#This Row],[Pricing category ]],$H$3:$H$18,0),1)</f>
        <v>Technical Services</v>
      </c>
    </row>
    <row r="88" spans="1:6" hidden="1" x14ac:dyDescent="0.2">
      <c r="A88">
        <v>310</v>
      </c>
      <c r="B88" t="s">
        <v>1093</v>
      </c>
      <c r="C88" t="s">
        <v>1094</v>
      </c>
      <c r="D88" t="s">
        <v>114</v>
      </c>
      <c r="E88" s="191" t="s">
        <v>92</v>
      </c>
      <c r="F88" t="str">
        <f>INDEX($I$3:$I$18,MATCH(jobcat19[[#This Row],[Pricing category ]],$H$3:$H$18,0),1)</f>
        <v xml:space="preserve">Professional Services </v>
      </c>
    </row>
    <row r="89" spans="1:6" hidden="1" x14ac:dyDescent="0.2">
      <c r="A89">
        <v>311</v>
      </c>
      <c r="B89" t="s">
        <v>1095</v>
      </c>
      <c r="C89" t="s">
        <v>300</v>
      </c>
      <c r="D89" t="s">
        <v>1096</v>
      </c>
      <c r="E89" t="s">
        <v>92</v>
      </c>
      <c r="F89" t="str">
        <f>INDEX($I$3:$I$18,MATCH(jobcat19[[#This Row],[Pricing category ]],$H$3:$H$18,0),1)</f>
        <v xml:space="preserve">Professional Services </v>
      </c>
    </row>
    <row r="90" spans="1:6" hidden="1" x14ac:dyDescent="0.2">
      <c r="A90">
        <v>315</v>
      </c>
      <c r="B90" t="s">
        <v>1097</v>
      </c>
      <c r="C90" t="s">
        <v>304</v>
      </c>
      <c r="D90" t="s">
        <v>1098</v>
      </c>
      <c r="E90" s="191" t="s">
        <v>92</v>
      </c>
      <c r="F90" t="str">
        <f>INDEX($I$3:$I$18,MATCH(jobcat19[[#This Row],[Pricing category ]],$H$3:$H$18,0),1)</f>
        <v xml:space="preserve">Professional Services </v>
      </c>
    </row>
    <row r="91" spans="1:6" hidden="1" x14ac:dyDescent="0.2">
      <c r="A91">
        <v>316</v>
      </c>
      <c r="B91" t="s">
        <v>1099</v>
      </c>
      <c r="C91" t="s">
        <v>286</v>
      </c>
      <c r="D91" t="s">
        <v>1100</v>
      </c>
      <c r="E91" t="s">
        <v>92</v>
      </c>
      <c r="F91" t="str">
        <f>INDEX($I$3:$I$18,MATCH(jobcat19[[#This Row],[Pricing category ]],$H$3:$H$18,0),1)</f>
        <v xml:space="preserve">Professional Services </v>
      </c>
    </row>
    <row r="92" spans="1:6" x14ac:dyDescent="0.2">
      <c r="A92">
        <v>317</v>
      </c>
      <c r="B92" t="s">
        <v>1101</v>
      </c>
      <c r="C92" t="s">
        <v>1102</v>
      </c>
      <c r="D92" t="s">
        <v>318</v>
      </c>
      <c r="E92" s="191" t="s">
        <v>953</v>
      </c>
      <c r="F92" t="str">
        <f>INDEX($I$3:$I$18,MATCH(jobcat19[[#This Row],[Pricing category ]],$H$3:$H$18,0),1)</f>
        <v>Technical Services</v>
      </c>
    </row>
    <row r="93" spans="1:6" x14ac:dyDescent="0.2">
      <c r="A93">
        <v>318</v>
      </c>
      <c r="B93" t="s">
        <v>1103</v>
      </c>
      <c r="C93" t="s">
        <v>312</v>
      </c>
      <c r="D93" t="s">
        <v>1104</v>
      </c>
      <c r="E93" s="191" t="s">
        <v>372</v>
      </c>
      <c r="F93" t="str">
        <f>INDEX($I$3:$I$18,MATCH(jobcat19[[#This Row],[Pricing category ]],$H$3:$H$18,0),1)</f>
        <v>Technical Services</v>
      </c>
    </row>
    <row r="94" spans="1:6" hidden="1" x14ac:dyDescent="0.2">
      <c r="A94">
        <v>319</v>
      </c>
      <c r="B94" t="s">
        <v>1105</v>
      </c>
      <c r="C94" t="s">
        <v>1106</v>
      </c>
      <c r="D94" t="s">
        <v>1107</v>
      </c>
      <c r="E94" t="s">
        <v>92</v>
      </c>
      <c r="F94" t="str">
        <f>INDEX($I$3:$I$18,MATCH(jobcat19[[#This Row],[Pricing category ]],$H$3:$H$18,0),1)</f>
        <v xml:space="preserve">Professional Services </v>
      </c>
    </row>
    <row r="95" spans="1:6" x14ac:dyDescent="0.2">
      <c r="A95">
        <v>320</v>
      </c>
      <c r="B95" t="s">
        <v>863</v>
      </c>
      <c r="C95" t="s">
        <v>307</v>
      </c>
      <c r="D95" t="s">
        <v>975</v>
      </c>
      <c r="E95" t="s">
        <v>372</v>
      </c>
      <c r="F95" t="str">
        <f>INDEX($I$3:$I$18,MATCH(jobcat19[[#This Row],[Pricing category ]],$H$3:$H$18,0),1)</f>
        <v>Technical Services</v>
      </c>
    </row>
    <row r="96" spans="1:6" hidden="1" x14ac:dyDescent="0.2">
      <c r="A96">
        <v>321</v>
      </c>
      <c r="B96" t="s">
        <v>1108</v>
      </c>
      <c r="C96" t="s">
        <v>1109</v>
      </c>
      <c r="D96" t="s">
        <v>1033</v>
      </c>
      <c r="E96" t="s">
        <v>956</v>
      </c>
      <c r="F96" t="str">
        <f>INDEX($I$3:$I$18,MATCH(jobcat19[[#This Row],[Pricing category ]],$H$3:$H$18,0),1)</f>
        <v xml:space="preserve">Professional Services </v>
      </c>
    </row>
    <row r="97" spans="1:6" hidden="1" x14ac:dyDescent="0.2">
      <c r="A97">
        <v>324</v>
      </c>
      <c r="B97" t="s">
        <v>1110</v>
      </c>
      <c r="C97" t="s">
        <v>1111</v>
      </c>
      <c r="D97" t="s">
        <v>1019</v>
      </c>
      <c r="E97" t="s">
        <v>92</v>
      </c>
      <c r="F97" t="str">
        <f>INDEX($I$3:$I$18,MATCH(jobcat19[[#This Row],[Pricing category ]],$H$3:$H$18,0),1)</f>
        <v xml:space="preserve">Professional Services </v>
      </c>
    </row>
    <row r="98" spans="1:6" hidden="1" x14ac:dyDescent="0.2">
      <c r="A98">
        <v>325</v>
      </c>
      <c r="B98" t="s">
        <v>765</v>
      </c>
      <c r="C98" t="s">
        <v>504</v>
      </c>
      <c r="D98" t="s">
        <v>173</v>
      </c>
      <c r="E98" t="s">
        <v>347</v>
      </c>
      <c r="F98" t="str">
        <f>INDEX($I$3:$I$18,MATCH(jobcat19[[#This Row],[Pricing category ]],$H$3:$H$18,0),1)</f>
        <v xml:space="preserve">Professional Services </v>
      </c>
    </row>
    <row r="99" spans="1:6" hidden="1" x14ac:dyDescent="0.2">
      <c r="A99">
        <v>326</v>
      </c>
      <c r="B99" t="s">
        <v>1112</v>
      </c>
      <c r="C99" t="s">
        <v>1113</v>
      </c>
      <c r="D99" t="s">
        <v>1033</v>
      </c>
      <c r="E99" t="s">
        <v>956</v>
      </c>
      <c r="F99" t="str">
        <f>INDEX($I$3:$I$18,MATCH(jobcat19[[#This Row],[Pricing category ]],$H$3:$H$18,0),1)</f>
        <v xml:space="preserve">Professional Services </v>
      </c>
    </row>
    <row r="100" spans="1:6" x14ac:dyDescent="0.2">
      <c r="A100">
        <v>331</v>
      </c>
      <c r="B100" t="s">
        <v>1114</v>
      </c>
      <c r="C100" t="s">
        <v>736</v>
      </c>
      <c r="D100" t="s">
        <v>993</v>
      </c>
      <c r="E100" s="191" t="s">
        <v>372</v>
      </c>
      <c r="F100" t="str">
        <f>INDEX($I$3:$I$18,MATCH(jobcat19[[#This Row],[Pricing category ]],$H$3:$H$18,0),1)</f>
        <v>Technical Services</v>
      </c>
    </row>
    <row r="101" spans="1:6" hidden="1" x14ac:dyDescent="0.2">
      <c r="A101">
        <v>332</v>
      </c>
      <c r="B101" t="s">
        <v>1115</v>
      </c>
      <c r="C101" t="s">
        <v>1116</v>
      </c>
      <c r="D101" t="s">
        <v>594</v>
      </c>
      <c r="E101" s="191" t="s">
        <v>118</v>
      </c>
      <c r="F101" t="str">
        <f>INDEX($I$3:$I$18,MATCH(jobcat19[[#This Row],[Pricing category ]],$H$3:$H$18,0),1)</f>
        <v xml:space="preserve">Professional Services </v>
      </c>
    </row>
    <row r="102" spans="1:6" x14ac:dyDescent="0.2">
      <c r="A102">
        <v>333</v>
      </c>
      <c r="B102" t="s">
        <v>1117</v>
      </c>
      <c r="C102" t="s">
        <v>165</v>
      </c>
      <c r="D102" t="s">
        <v>975</v>
      </c>
      <c r="E102" t="s">
        <v>372</v>
      </c>
      <c r="F102" t="str">
        <f>INDEX($I$3:$I$18,MATCH(jobcat19[[#This Row],[Pricing category ]],$H$3:$H$18,0),1)</f>
        <v>Technical Services</v>
      </c>
    </row>
    <row r="103" spans="1:6" hidden="1" x14ac:dyDescent="0.2">
      <c r="A103">
        <v>334</v>
      </c>
      <c r="B103" t="s">
        <v>1118</v>
      </c>
      <c r="C103" t="s">
        <v>1119</v>
      </c>
      <c r="D103" t="s">
        <v>1120</v>
      </c>
      <c r="E103" s="191" t="s">
        <v>92</v>
      </c>
      <c r="F103" t="str">
        <f>INDEX($I$3:$I$18,MATCH(jobcat19[[#This Row],[Pricing category ]],$H$3:$H$18,0),1)</f>
        <v xml:space="preserve">Professional Services </v>
      </c>
    </row>
    <row r="104" spans="1:6" x14ac:dyDescent="0.2">
      <c r="A104">
        <v>335</v>
      </c>
      <c r="B104" t="s">
        <v>1121</v>
      </c>
      <c r="C104" t="s">
        <v>1122</v>
      </c>
      <c r="D104" t="s">
        <v>1123</v>
      </c>
      <c r="E104" s="191" t="s">
        <v>964</v>
      </c>
      <c r="F104" t="str">
        <f>INDEX($I$3:$I$18,MATCH(jobcat19[[#This Row],[Pricing category ]],$H$3:$H$18,0),1)</f>
        <v>Technical Services</v>
      </c>
    </row>
    <row r="105" spans="1:6" x14ac:dyDescent="0.2">
      <c r="A105">
        <v>336</v>
      </c>
      <c r="B105" t="s">
        <v>1124</v>
      </c>
      <c r="C105" t="s">
        <v>1125</v>
      </c>
      <c r="D105" t="s">
        <v>993</v>
      </c>
      <c r="E105" t="s">
        <v>372</v>
      </c>
      <c r="F105" t="str">
        <f>INDEX($I$3:$I$18,MATCH(jobcat19[[#This Row],[Pricing category ]],$H$3:$H$18,0),1)</f>
        <v>Technical Services</v>
      </c>
    </row>
    <row r="106" spans="1:6" x14ac:dyDescent="0.2">
      <c r="A106">
        <v>337</v>
      </c>
      <c r="B106" t="s">
        <v>1126</v>
      </c>
      <c r="C106" t="s">
        <v>1127</v>
      </c>
      <c r="D106" t="s">
        <v>318</v>
      </c>
      <c r="E106" t="s">
        <v>953</v>
      </c>
      <c r="F106" t="str">
        <f>INDEX($I$3:$I$18,MATCH(jobcat19[[#This Row],[Pricing category ]],$H$3:$H$18,0),1)</f>
        <v>Technical Services</v>
      </c>
    </row>
    <row r="107" spans="1:6" x14ac:dyDescent="0.2">
      <c r="A107">
        <v>338</v>
      </c>
      <c r="B107" t="s">
        <v>1128</v>
      </c>
      <c r="C107" t="s">
        <v>1129</v>
      </c>
      <c r="D107" t="s">
        <v>993</v>
      </c>
      <c r="E107" t="s">
        <v>372</v>
      </c>
      <c r="F107" t="str">
        <f>INDEX($I$3:$I$18,MATCH(jobcat19[[#This Row],[Pricing category ]],$H$3:$H$18,0),1)</f>
        <v>Technical Services</v>
      </c>
    </row>
    <row r="108" spans="1:6" x14ac:dyDescent="0.2">
      <c r="A108">
        <v>339</v>
      </c>
      <c r="B108" t="s">
        <v>1130</v>
      </c>
      <c r="C108" t="s">
        <v>1131</v>
      </c>
      <c r="D108" t="s">
        <v>993</v>
      </c>
      <c r="E108" t="s">
        <v>372</v>
      </c>
      <c r="F108" t="str">
        <f>INDEX($I$3:$I$18,MATCH(jobcat19[[#This Row],[Pricing category ]],$H$3:$H$18,0),1)</f>
        <v>Technical Services</v>
      </c>
    </row>
    <row r="109" spans="1:6" x14ac:dyDescent="0.2">
      <c r="A109">
        <v>340</v>
      </c>
      <c r="B109" t="s">
        <v>1132</v>
      </c>
      <c r="C109" t="s">
        <v>1133</v>
      </c>
      <c r="D109" t="s">
        <v>318</v>
      </c>
      <c r="E109" t="s">
        <v>953</v>
      </c>
      <c r="F109" t="str">
        <f>INDEX($I$3:$I$18,MATCH(jobcat19[[#This Row],[Pricing category ]],$H$3:$H$18,0),1)</f>
        <v>Technical Services</v>
      </c>
    </row>
    <row r="110" spans="1:6" hidden="1" x14ac:dyDescent="0.2">
      <c r="A110">
        <v>341</v>
      </c>
      <c r="B110" t="s">
        <v>1134</v>
      </c>
      <c r="C110" t="s">
        <v>1135</v>
      </c>
      <c r="D110" t="s">
        <v>571</v>
      </c>
      <c r="E110" t="s">
        <v>92</v>
      </c>
      <c r="F110" t="str">
        <f>INDEX($I$3:$I$18,MATCH(jobcat19[[#This Row],[Pricing category ]],$H$3:$H$18,0),1)</f>
        <v xml:space="preserve">Professional Services </v>
      </c>
    </row>
    <row r="111" spans="1:6" x14ac:dyDescent="0.2">
      <c r="A111">
        <v>342</v>
      </c>
      <c r="B111" t="s">
        <v>1136</v>
      </c>
      <c r="C111" t="s">
        <v>312</v>
      </c>
      <c r="D111" t="s">
        <v>169</v>
      </c>
      <c r="E111" t="s">
        <v>948</v>
      </c>
      <c r="F111" t="str">
        <f>INDEX($I$3:$I$18,MATCH(jobcat19[[#This Row],[Pricing category ]],$H$3:$H$18,0),1)</f>
        <v>Technical Services</v>
      </c>
    </row>
    <row r="112" spans="1:6" x14ac:dyDescent="0.2">
      <c r="A112">
        <v>343</v>
      </c>
      <c r="B112" t="s">
        <v>1137</v>
      </c>
      <c r="C112" t="s">
        <v>1138</v>
      </c>
      <c r="D112" t="s">
        <v>206</v>
      </c>
      <c r="E112" t="s">
        <v>953</v>
      </c>
      <c r="F112" t="str">
        <f>INDEX($I$3:$I$18,MATCH(jobcat19[[#This Row],[Pricing category ]],$H$3:$H$18,0),1)</f>
        <v>Technical Services</v>
      </c>
    </row>
    <row r="113" spans="1:6" x14ac:dyDescent="0.2">
      <c r="A113">
        <v>344</v>
      </c>
      <c r="B113" t="s">
        <v>1139</v>
      </c>
      <c r="C113" t="s">
        <v>317</v>
      </c>
      <c r="D113" t="s">
        <v>1140</v>
      </c>
      <c r="E113" t="s">
        <v>953</v>
      </c>
      <c r="F113" t="str">
        <f>INDEX($I$3:$I$18,MATCH(jobcat19[[#This Row],[Pricing category ]],$H$3:$H$18,0),1)</f>
        <v>Technical Services</v>
      </c>
    </row>
    <row r="114" spans="1:6" x14ac:dyDescent="0.2">
      <c r="A114">
        <v>345</v>
      </c>
      <c r="B114" t="s">
        <v>1141</v>
      </c>
      <c r="C114" t="s">
        <v>192</v>
      </c>
      <c r="D114" t="s">
        <v>318</v>
      </c>
      <c r="E114" t="s">
        <v>953</v>
      </c>
      <c r="F114" t="str">
        <f>INDEX($I$3:$I$18,MATCH(jobcat19[[#This Row],[Pricing category ]],$H$3:$H$18,0),1)</f>
        <v>Technical Services</v>
      </c>
    </row>
    <row r="115" spans="1:6" x14ac:dyDescent="0.2">
      <c r="A115">
        <v>347</v>
      </c>
      <c r="B115" t="s">
        <v>1142</v>
      </c>
      <c r="C115" t="s">
        <v>690</v>
      </c>
      <c r="D115" t="s">
        <v>993</v>
      </c>
      <c r="E115" t="s">
        <v>372</v>
      </c>
      <c r="F115" t="str">
        <f>INDEX($I$3:$I$18,MATCH(jobcat19[[#This Row],[Pricing category ]],$H$3:$H$18,0),1)</f>
        <v>Technical Services</v>
      </c>
    </row>
    <row r="116" spans="1:6" x14ac:dyDescent="0.2">
      <c r="A116">
        <v>348</v>
      </c>
      <c r="B116" t="s">
        <v>1143</v>
      </c>
      <c r="C116" t="s">
        <v>320</v>
      </c>
      <c r="D116" t="s">
        <v>169</v>
      </c>
      <c r="E116" t="s">
        <v>372</v>
      </c>
      <c r="F116" t="str">
        <f>INDEX($I$3:$I$18,MATCH(jobcat19[[#This Row],[Pricing category ]],$H$3:$H$18,0),1)</f>
        <v>Technical Services</v>
      </c>
    </row>
    <row r="117" spans="1:6" x14ac:dyDescent="0.2">
      <c r="A117">
        <v>349</v>
      </c>
      <c r="B117" t="s">
        <v>1144</v>
      </c>
      <c r="C117" t="s">
        <v>1145</v>
      </c>
      <c r="D117" t="s">
        <v>318</v>
      </c>
      <c r="E117" s="191" t="s">
        <v>953</v>
      </c>
      <c r="F117" t="str">
        <f>INDEX($I$3:$I$18,MATCH(jobcat19[[#This Row],[Pricing category ]],$H$3:$H$18,0),1)</f>
        <v>Technical Services</v>
      </c>
    </row>
    <row r="118" spans="1:6" x14ac:dyDescent="0.2">
      <c r="A118">
        <v>350</v>
      </c>
      <c r="B118" t="s">
        <v>1146</v>
      </c>
      <c r="C118" t="s">
        <v>535</v>
      </c>
      <c r="D118" t="s">
        <v>993</v>
      </c>
      <c r="E118" s="191" t="s">
        <v>372</v>
      </c>
      <c r="F118" t="str">
        <f>INDEX($I$3:$I$18,MATCH(jobcat19[[#This Row],[Pricing category ]],$H$3:$H$18,0),1)</f>
        <v>Technical Services</v>
      </c>
    </row>
    <row r="119" spans="1:6" x14ac:dyDescent="0.2">
      <c r="A119">
        <v>351</v>
      </c>
      <c r="B119" t="s">
        <v>1147</v>
      </c>
      <c r="C119" t="s">
        <v>863</v>
      </c>
      <c r="D119" t="s">
        <v>993</v>
      </c>
      <c r="E119" s="191" t="s">
        <v>372</v>
      </c>
      <c r="F119" t="str">
        <f>INDEX($I$3:$I$18,MATCH(jobcat19[[#This Row],[Pricing category ]],$H$3:$H$18,0),1)</f>
        <v>Technical Services</v>
      </c>
    </row>
    <row r="120" spans="1:6" x14ac:dyDescent="0.2">
      <c r="A120">
        <v>352</v>
      </c>
      <c r="B120" t="s">
        <v>1148</v>
      </c>
      <c r="C120" t="s">
        <v>324</v>
      </c>
      <c r="D120" t="s">
        <v>1149</v>
      </c>
      <c r="E120" s="191" t="s">
        <v>953</v>
      </c>
      <c r="F120" t="str">
        <f>INDEX($I$3:$I$18,MATCH(jobcat19[[#This Row],[Pricing category ]],$H$3:$H$18,0),1)</f>
        <v>Technical Services</v>
      </c>
    </row>
    <row r="121" spans="1:6" hidden="1" x14ac:dyDescent="0.2">
      <c r="A121">
        <v>353</v>
      </c>
      <c r="B121" t="s">
        <v>1150</v>
      </c>
      <c r="C121" t="s">
        <v>1151</v>
      </c>
      <c r="D121" t="s">
        <v>1152</v>
      </c>
      <c r="E121" s="191" t="s">
        <v>956</v>
      </c>
      <c r="F121" t="str">
        <f>INDEX($I$3:$I$18,MATCH(jobcat19[[#This Row],[Pricing category ]],$H$3:$H$18,0),1)</f>
        <v xml:space="preserve">Professional Services </v>
      </c>
    </row>
    <row r="122" spans="1:6" x14ac:dyDescent="0.2">
      <c r="A122">
        <v>354</v>
      </c>
      <c r="B122" t="s">
        <v>1153</v>
      </c>
      <c r="C122" t="s">
        <v>1154</v>
      </c>
      <c r="D122" t="s">
        <v>206</v>
      </c>
      <c r="E122" t="s">
        <v>953</v>
      </c>
      <c r="F122" t="str">
        <f>INDEX($I$3:$I$18,MATCH(jobcat19[[#This Row],[Pricing category ]],$H$3:$H$18,0),1)</f>
        <v>Technical Services</v>
      </c>
    </row>
    <row r="123" spans="1:6" hidden="1" x14ac:dyDescent="0.2">
      <c r="A123">
        <v>355</v>
      </c>
      <c r="B123" t="s">
        <v>1155</v>
      </c>
      <c r="C123" t="s">
        <v>218</v>
      </c>
      <c r="D123" t="s">
        <v>1156</v>
      </c>
      <c r="E123" s="191" t="s">
        <v>956</v>
      </c>
      <c r="F123" t="str">
        <f>INDEX($I$3:$I$18,MATCH(jobcat19[[#This Row],[Pricing category ]],$H$3:$H$18,0),1)</f>
        <v xml:space="preserve">Professional Services </v>
      </c>
    </row>
    <row r="124" spans="1:6" x14ac:dyDescent="0.2">
      <c r="A124">
        <v>356</v>
      </c>
      <c r="B124" t="s">
        <v>1157</v>
      </c>
      <c r="C124" t="s">
        <v>1158</v>
      </c>
      <c r="D124" t="s">
        <v>364</v>
      </c>
      <c r="E124" t="s">
        <v>964</v>
      </c>
      <c r="F124" t="str">
        <f>INDEX($I$3:$I$18,MATCH(jobcat19[[#This Row],[Pricing category ]],$H$3:$H$18,0),1)</f>
        <v>Technical Services</v>
      </c>
    </row>
    <row r="125" spans="1:6" hidden="1" x14ac:dyDescent="0.2">
      <c r="A125">
        <v>359</v>
      </c>
      <c r="B125" t="s">
        <v>1159</v>
      </c>
      <c r="C125" t="s">
        <v>327</v>
      </c>
      <c r="D125" t="s">
        <v>328</v>
      </c>
      <c r="E125" t="s">
        <v>92</v>
      </c>
      <c r="F125" t="str">
        <f>INDEX($I$3:$I$18,MATCH(jobcat19[[#This Row],[Pricing category ]],$H$3:$H$18,0),1)</f>
        <v xml:space="preserve">Professional Services </v>
      </c>
    </row>
    <row r="126" spans="1:6" hidden="1" x14ac:dyDescent="0.2">
      <c r="A126">
        <v>360</v>
      </c>
      <c r="B126" t="s">
        <v>1160</v>
      </c>
      <c r="C126" t="s">
        <v>332</v>
      </c>
      <c r="D126" t="s">
        <v>333</v>
      </c>
      <c r="E126" t="s">
        <v>92</v>
      </c>
      <c r="F126" t="str">
        <f>INDEX($I$3:$I$18,MATCH(jobcat19[[#This Row],[Pricing category ]],$H$3:$H$18,0),1)</f>
        <v xml:space="preserve">Professional Services </v>
      </c>
    </row>
    <row r="127" spans="1:6" hidden="1" x14ac:dyDescent="0.2">
      <c r="A127">
        <v>361</v>
      </c>
      <c r="B127" t="s">
        <v>1161</v>
      </c>
      <c r="C127" t="s">
        <v>336</v>
      </c>
      <c r="D127" t="s">
        <v>1162</v>
      </c>
      <c r="E127" s="191" t="s">
        <v>92</v>
      </c>
      <c r="F127" t="str">
        <f>INDEX($I$3:$I$18,MATCH(jobcat19[[#This Row],[Pricing category ]],$H$3:$H$18,0),1)</f>
        <v xml:space="preserve">Professional Services </v>
      </c>
    </row>
    <row r="128" spans="1:6" hidden="1" x14ac:dyDescent="0.2">
      <c r="A128">
        <v>362</v>
      </c>
      <c r="B128" t="s">
        <v>1163</v>
      </c>
      <c r="C128" t="s">
        <v>345</v>
      </c>
      <c r="D128" t="s">
        <v>346</v>
      </c>
      <c r="E128" t="s">
        <v>347</v>
      </c>
      <c r="F128" t="str">
        <f>INDEX($I$3:$I$18,MATCH(jobcat19[[#This Row],[Pricing category ]],$H$3:$H$18,0),1)</f>
        <v xml:space="preserve">Professional Services </v>
      </c>
    </row>
    <row r="129" spans="1:6" hidden="1" x14ac:dyDescent="0.2">
      <c r="A129">
        <v>363</v>
      </c>
      <c r="B129" t="s">
        <v>1164</v>
      </c>
      <c r="C129" t="s">
        <v>1165</v>
      </c>
      <c r="D129" t="s">
        <v>346</v>
      </c>
      <c r="E129" s="191" t="s">
        <v>347</v>
      </c>
      <c r="F129" t="str">
        <f>INDEX($I$3:$I$18,MATCH(jobcat19[[#This Row],[Pricing category ]],$H$3:$H$18,0),1)</f>
        <v xml:space="preserve">Professional Services </v>
      </c>
    </row>
    <row r="130" spans="1:6" hidden="1" x14ac:dyDescent="0.2">
      <c r="A130">
        <v>364</v>
      </c>
      <c r="B130" t="s">
        <v>1166</v>
      </c>
      <c r="C130" t="s">
        <v>1167</v>
      </c>
      <c r="D130" t="s">
        <v>114</v>
      </c>
      <c r="E130" t="s">
        <v>92</v>
      </c>
      <c r="F130" t="str">
        <f>INDEX($I$3:$I$18,MATCH(jobcat19[[#This Row],[Pricing category ]],$H$3:$H$18,0),1)</f>
        <v xml:space="preserve">Professional Services </v>
      </c>
    </row>
    <row r="131" spans="1:6" hidden="1" x14ac:dyDescent="0.2">
      <c r="A131">
        <v>365</v>
      </c>
      <c r="B131" t="s">
        <v>1168</v>
      </c>
      <c r="C131" t="s">
        <v>1169</v>
      </c>
      <c r="D131" t="s">
        <v>1170</v>
      </c>
      <c r="E131" t="s">
        <v>956</v>
      </c>
      <c r="F131" t="str">
        <f>INDEX($I$3:$I$18,MATCH(jobcat19[[#This Row],[Pricing category ]],$H$3:$H$18,0),1)</f>
        <v xml:space="preserve">Professional Services </v>
      </c>
    </row>
    <row r="132" spans="1:6" hidden="1" x14ac:dyDescent="0.2">
      <c r="A132">
        <v>366</v>
      </c>
      <c r="B132" t="s">
        <v>1171</v>
      </c>
      <c r="C132" t="s">
        <v>1018</v>
      </c>
      <c r="D132" t="s">
        <v>594</v>
      </c>
      <c r="E132" t="s">
        <v>118</v>
      </c>
      <c r="F132" t="str">
        <f>INDEX($I$3:$I$18,MATCH(jobcat19[[#This Row],[Pricing category ]],$H$3:$H$18,0),1)</f>
        <v xml:space="preserve">Professional Services </v>
      </c>
    </row>
    <row r="133" spans="1:6" x14ac:dyDescent="0.2">
      <c r="A133">
        <v>367</v>
      </c>
      <c r="B133" t="s">
        <v>1172</v>
      </c>
      <c r="C133" t="s">
        <v>1173</v>
      </c>
      <c r="D133" t="s">
        <v>341</v>
      </c>
      <c r="E133" s="191" t="s">
        <v>372</v>
      </c>
      <c r="F133" t="str">
        <f>INDEX($I$3:$I$18,MATCH(jobcat19[[#This Row],[Pricing category ]],$H$3:$H$18,0),1)</f>
        <v>Technical Services</v>
      </c>
    </row>
    <row r="134" spans="1:6" x14ac:dyDescent="0.2">
      <c r="A134">
        <v>368</v>
      </c>
      <c r="B134" t="s">
        <v>1174</v>
      </c>
      <c r="C134" t="s">
        <v>1158</v>
      </c>
      <c r="D134" t="s">
        <v>372</v>
      </c>
      <c r="E134" t="s">
        <v>372</v>
      </c>
      <c r="F134" t="str">
        <f>INDEX($I$3:$I$18,MATCH(jobcat19[[#This Row],[Pricing category ]],$H$3:$H$18,0),1)</f>
        <v>Technical Services</v>
      </c>
    </row>
    <row r="135" spans="1:6" x14ac:dyDescent="0.2">
      <c r="A135">
        <v>369</v>
      </c>
      <c r="B135" t="s">
        <v>1175</v>
      </c>
      <c r="C135" t="s">
        <v>1176</v>
      </c>
      <c r="D135" t="s">
        <v>1177</v>
      </c>
      <c r="E135" t="s">
        <v>372</v>
      </c>
      <c r="F135" t="str">
        <f>INDEX($I$3:$I$18,MATCH(jobcat19[[#This Row],[Pricing category ]],$H$3:$H$18,0),1)</f>
        <v>Technical Services</v>
      </c>
    </row>
    <row r="136" spans="1:6" x14ac:dyDescent="0.2">
      <c r="A136">
        <v>370</v>
      </c>
      <c r="B136" t="s">
        <v>1178</v>
      </c>
      <c r="C136" t="s">
        <v>496</v>
      </c>
      <c r="D136" t="s">
        <v>1177</v>
      </c>
      <c r="E136" s="191" t="s">
        <v>372</v>
      </c>
      <c r="F136" t="str">
        <f>INDEX($I$3:$I$18,MATCH(jobcat19[[#This Row],[Pricing category ]],$H$3:$H$18,0),1)</f>
        <v>Technical Services</v>
      </c>
    </row>
    <row r="137" spans="1:6" hidden="1" x14ac:dyDescent="0.2">
      <c r="A137">
        <v>371</v>
      </c>
      <c r="B137" t="s">
        <v>1179</v>
      </c>
      <c r="C137" t="s">
        <v>1180</v>
      </c>
      <c r="D137" t="s">
        <v>1033</v>
      </c>
      <c r="E137" t="s">
        <v>956</v>
      </c>
      <c r="F137" t="str">
        <f>INDEX($I$3:$I$18,MATCH(jobcat19[[#This Row],[Pricing category ]],$H$3:$H$18,0),1)</f>
        <v xml:space="preserve">Professional Services </v>
      </c>
    </row>
    <row r="138" spans="1:6" x14ac:dyDescent="0.2">
      <c r="A138">
        <v>372</v>
      </c>
      <c r="B138" t="s">
        <v>1181</v>
      </c>
      <c r="C138" t="s">
        <v>980</v>
      </c>
      <c r="D138" t="s">
        <v>1177</v>
      </c>
      <c r="E138" s="191" t="s">
        <v>372</v>
      </c>
      <c r="F138" t="str">
        <f>INDEX($I$3:$I$18,MATCH(jobcat19[[#This Row],[Pricing category ]],$H$3:$H$18,0),1)</f>
        <v>Technical Services</v>
      </c>
    </row>
    <row r="139" spans="1:6" hidden="1" x14ac:dyDescent="0.2">
      <c r="A139">
        <v>373</v>
      </c>
      <c r="B139" t="s">
        <v>1182</v>
      </c>
      <c r="C139" t="s">
        <v>1183</v>
      </c>
      <c r="D139" t="s">
        <v>114</v>
      </c>
      <c r="E139" t="s">
        <v>92</v>
      </c>
      <c r="F139" t="str">
        <f>INDEX($I$3:$I$18,MATCH(jobcat19[[#This Row],[Pricing category ]],$H$3:$H$18,0),1)</f>
        <v xml:space="preserve">Professional Services </v>
      </c>
    </row>
    <row r="140" spans="1:6" hidden="1" x14ac:dyDescent="0.2">
      <c r="A140">
        <v>374</v>
      </c>
      <c r="B140" t="s">
        <v>1184</v>
      </c>
      <c r="C140" t="s">
        <v>1185</v>
      </c>
      <c r="D140" t="s">
        <v>1186</v>
      </c>
      <c r="E140" t="s">
        <v>92</v>
      </c>
      <c r="F140" t="str">
        <f>INDEX($I$3:$I$18,MATCH(jobcat19[[#This Row],[Pricing category ]],$H$3:$H$18,0),1)</f>
        <v xml:space="preserve">Professional Services </v>
      </c>
    </row>
    <row r="141" spans="1:6" hidden="1" x14ac:dyDescent="0.2">
      <c r="A141">
        <v>375</v>
      </c>
      <c r="B141" t="s">
        <v>1187</v>
      </c>
      <c r="C141" t="s">
        <v>1188</v>
      </c>
      <c r="D141" t="s">
        <v>114</v>
      </c>
      <c r="E141" t="s">
        <v>92</v>
      </c>
      <c r="F141" t="str">
        <f>INDEX($I$3:$I$18,MATCH(jobcat19[[#This Row],[Pricing category ]],$H$3:$H$18,0),1)</f>
        <v xml:space="preserve">Professional Services </v>
      </c>
    </row>
    <row r="142" spans="1:6" x14ac:dyDescent="0.2">
      <c r="A142">
        <v>376</v>
      </c>
      <c r="B142" t="s">
        <v>1189</v>
      </c>
      <c r="C142" t="s">
        <v>930</v>
      </c>
      <c r="D142" t="s">
        <v>372</v>
      </c>
      <c r="E142" s="191" t="s">
        <v>372</v>
      </c>
      <c r="F142" t="str">
        <f>INDEX($I$3:$I$18,MATCH(jobcat19[[#This Row],[Pricing category ]],$H$3:$H$18,0),1)</f>
        <v>Technical Services</v>
      </c>
    </row>
    <row r="143" spans="1:6" hidden="1" x14ac:dyDescent="0.2">
      <c r="A143">
        <v>377</v>
      </c>
      <c r="B143" t="s">
        <v>1190</v>
      </c>
      <c r="C143" t="s">
        <v>533</v>
      </c>
      <c r="D143" t="s">
        <v>769</v>
      </c>
      <c r="E143" s="191" t="s">
        <v>92</v>
      </c>
      <c r="F143" t="str">
        <f>INDEX($I$3:$I$18,MATCH(jobcat19[[#This Row],[Pricing category ]],$H$3:$H$18,0),1)</f>
        <v xml:space="preserve">Professional Services </v>
      </c>
    </row>
    <row r="144" spans="1:6" x14ac:dyDescent="0.2">
      <c r="A144">
        <v>378</v>
      </c>
      <c r="B144" t="s">
        <v>1191</v>
      </c>
      <c r="C144" t="s">
        <v>1192</v>
      </c>
      <c r="D144" t="s">
        <v>432</v>
      </c>
      <c r="E144" s="191" t="s">
        <v>372</v>
      </c>
      <c r="F144" t="str">
        <f>INDEX($I$3:$I$18,MATCH(jobcat19[[#This Row],[Pricing category ]],$H$3:$H$18,0),1)</f>
        <v>Technical Services</v>
      </c>
    </row>
    <row r="145" spans="1:6" hidden="1" x14ac:dyDescent="0.2">
      <c r="A145">
        <v>379</v>
      </c>
      <c r="B145" t="s">
        <v>1193</v>
      </c>
      <c r="C145" t="s">
        <v>1194</v>
      </c>
      <c r="D145" t="s">
        <v>1195</v>
      </c>
      <c r="E145" t="s">
        <v>92</v>
      </c>
      <c r="F145" t="str">
        <f>INDEX($I$3:$I$18,MATCH(jobcat19[[#This Row],[Pricing category ]],$H$3:$H$18,0),1)</f>
        <v xml:space="preserve">Professional Services </v>
      </c>
    </row>
    <row r="146" spans="1:6" hidden="1" x14ac:dyDescent="0.2">
      <c r="A146">
        <v>380</v>
      </c>
      <c r="B146" t="s">
        <v>817</v>
      </c>
      <c r="C146" t="s">
        <v>768</v>
      </c>
      <c r="D146" t="s">
        <v>1196</v>
      </c>
      <c r="E146" t="s">
        <v>969</v>
      </c>
      <c r="F146" t="str">
        <f>INDEX($I$3:$I$18,MATCH(jobcat19[[#This Row],[Pricing category ]],$H$3:$H$18,0),1)</f>
        <v xml:space="preserve">Professional Services </v>
      </c>
    </row>
    <row r="147" spans="1:6" x14ac:dyDescent="0.2">
      <c r="A147">
        <v>381</v>
      </c>
      <c r="B147" t="s">
        <v>1197</v>
      </c>
      <c r="C147" t="s">
        <v>1198</v>
      </c>
      <c r="D147" t="s">
        <v>318</v>
      </c>
      <c r="E147" t="s">
        <v>953</v>
      </c>
      <c r="F147" t="str">
        <f>INDEX($I$3:$I$18,MATCH(jobcat19[[#This Row],[Pricing category ]],$H$3:$H$18,0),1)</f>
        <v>Technical Services</v>
      </c>
    </row>
    <row r="148" spans="1:6" x14ac:dyDescent="0.2">
      <c r="A148">
        <v>382</v>
      </c>
      <c r="B148" t="s">
        <v>396</v>
      </c>
      <c r="C148" t="s">
        <v>930</v>
      </c>
      <c r="D148" t="s">
        <v>372</v>
      </c>
      <c r="E148" t="s">
        <v>372</v>
      </c>
      <c r="F148" t="str">
        <f>INDEX($I$3:$I$18,MATCH(jobcat19[[#This Row],[Pricing category ]],$H$3:$H$18,0),1)</f>
        <v>Technical Services</v>
      </c>
    </row>
    <row r="149" spans="1:6" hidden="1" x14ac:dyDescent="0.2">
      <c r="A149">
        <v>383</v>
      </c>
      <c r="B149" t="s">
        <v>1199</v>
      </c>
      <c r="C149" t="s">
        <v>1200</v>
      </c>
      <c r="D149" t="s">
        <v>1033</v>
      </c>
      <c r="E149" t="s">
        <v>956</v>
      </c>
      <c r="F149" t="str">
        <f>INDEX($I$3:$I$18,MATCH(jobcat19[[#This Row],[Pricing category ]],$H$3:$H$18,0),1)</f>
        <v xml:space="preserve">Professional Services </v>
      </c>
    </row>
    <row r="150" spans="1:6" x14ac:dyDescent="0.2">
      <c r="A150">
        <v>384</v>
      </c>
      <c r="B150" t="s">
        <v>1201</v>
      </c>
      <c r="C150" t="s">
        <v>1157</v>
      </c>
      <c r="D150" t="s">
        <v>975</v>
      </c>
      <c r="E150" t="s">
        <v>948</v>
      </c>
      <c r="F150" t="str">
        <f>INDEX($I$3:$I$18,MATCH(jobcat19[[#This Row],[Pricing category ]],$H$3:$H$18,0),1)</f>
        <v>Technical Services</v>
      </c>
    </row>
    <row r="151" spans="1:6" hidden="1" x14ac:dyDescent="0.2">
      <c r="A151">
        <v>386</v>
      </c>
      <c r="B151" t="s">
        <v>1202</v>
      </c>
      <c r="C151" t="s">
        <v>1203</v>
      </c>
      <c r="D151" t="s">
        <v>594</v>
      </c>
      <c r="E151" t="s">
        <v>118</v>
      </c>
      <c r="F151" t="str">
        <f>INDEX($I$3:$I$18,MATCH(jobcat19[[#This Row],[Pricing category ]],$H$3:$H$18,0),1)</f>
        <v xml:space="preserve">Professional Services </v>
      </c>
    </row>
    <row r="152" spans="1:6" hidden="1" x14ac:dyDescent="0.2">
      <c r="A152">
        <v>387</v>
      </c>
      <c r="B152" t="s">
        <v>1204</v>
      </c>
      <c r="C152" t="s">
        <v>1205</v>
      </c>
      <c r="D152" t="s">
        <v>1033</v>
      </c>
      <c r="E152" s="191" t="s">
        <v>956</v>
      </c>
      <c r="F152" t="str">
        <f>INDEX($I$3:$I$18,MATCH(jobcat19[[#This Row],[Pricing category ]],$H$3:$H$18,0),1)</f>
        <v xml:space="preserve">Professional Services </v>
      </c>
    </row>
    <row r="153" spans="1:6" hidden="1" x14ac:dyDescent="0.2">
      <c r="A153">
        <v>388</v>
      </c>
      <c r="B153" t="s">
        <v>1206</v>
      </c>
      <c r="C153" t="s">
        <v>778</v>
      </c>
      <c r="D153" t="s">
        <v>594</v>
      </c>
      <c r="E153" t="s">
        <v>118</v>
      </c>
      <c r="F153" t="str">
        <f>INDEX($I$3:$I$18,MATCH(jobcat19[[#This Row],[Pricing category ]],$H$3:$H$18,0),1)</f>
        <v xml:space="preserve">Professional Services </v>
      </c>
    </row>
    <row r="154" spans="1:6" hidden="1" x14ac:dyDescent="0.2">
      <c r="A154">
        <v>389</v>
      </c>
      <c r="B154" t="s">
        <v>1020</v>
      </c>
      <c r="C154" t="s">
        <v>705</v>
      </c>
      <c r="D154" t="s">
        <v>346</v>
      </c>
      <c r="E154" t="s">
        <v>347</v>
      </c>
      <c r="F154" t="str">
        <f>INDEX($I$3:$I$18,MATCH(jobcat19[[#This Row],[Pricing category ]],$H$3:$H$18,0),1)</f>
        <v xml:space="preserve">Professional Services </v>
      </c>
    </row>
    <row r="155" spans="1:6" hidden="1" x14ac:dyDescent="0.2">
      <c r="A155">
        <v>390</v>
      </c>
      <c r="B155" t="s">
        <v>1207</v>
      </c>
      <c r="C155" t="s">
        <v>1125</v>
      </c>
      <c r="D155" t="s">
        <v>1208</v>
      </c>
      <c r="E155" t="s">
        <v>347</v>
      </c>
      <c r="F155" t="str">
        <f>INDEX($I$3:$I$18,MATCH(jobcat19[[#This Row],[Pricing category ]],$H$3:$H$18,0),1)</f>
        <v xml:space="preserve">Professional Services </v>
      </c>
    </row>
    <row r="156" spans="1:6" x14ac:dyDescent="0.2">
      <c r="A156">
        <v>393</v>
      </c>
      <c r="B156" t="s">
        <v>1209</v>
      </c>
      <c r="C156" t="s">
        <v>1018</v>
      </c>
      <c r="D156" t="s">
        <v>318</v>
      </c>
      <c r="E156" s="191" t="s">
        <v>953</v>
      </c>
      <c r="F156" t="str">
        <f>INDEX($I$3:$I$18,MATCH(jobcat19[[#This Row],[Pricing category ]],$H$3:$H$18,0),1)</f>
        <v>Technical Services</v>
      </c>
    </row>
    <row r="157" spans="1:6" hidden="1" x14ac:dyDescent="0.2">
      <c r="A157">
        <v>394</v>
      </c>
      <c r="B157" t="s">
        <v>1210</v>
      </c>
      <c r="C157" t="s">
        <v>1211</v>
      </c>
      <c r="D157" t="s">
        <v>594</v>
      </c>
      <c r="E157" t="s">
        <v>118</v>
      </c>
      <c r="F157" t="str">
        <f>INDEX($I$3:$I$18,MATCH(jobcat19[[#This Row],[Pricing category ]],$H$3:$H$18,0),1)</f>
        <v xml:space="preserve">Professional Services </v>
      </c>
    </row>
    <row r="158" spans="1:6" x14ac:dyDescent="0.2">
      <c r="A158">
        <v>395</v>
      </c>
      <c r="B158" t="s">
        <v>1212</v>
      </c>
      <c r="C158" t="s">
        <v>359</v>
      </c>
      <c r="D158" t="s">
        <v>853</v>
      </c>
      <c r="E158" s="191" t="s">
        <v>372</v>
      </c>
      <c r="F158" t="str">
        <f>INDEX($I$3:$I$18,MATCH(jobcat19[[#This Row],[Pricing category ]],$H$3:$H$18,0),1)</f>
        <v>Technical Services</v>
      </c>
    </row>
    <row r="159" spans="1:6" x14ac:dyDescent="0.2">
      <c r="A159">
        <v>396</v>
      </c>
      <c r="B159" t="s">
        <v>1213</v>
      </c>
      <c r="C159" t="s">
        <v>406</v>
      </c>
      <c r="D159" t="s">
        <v>975</v>
      </c>
      <c r="E159" t="s">
        <v>372</v>
      </c>
      <c r="F159" t="str">
        <f>INDEX($I$3:$I$18,MATCH(jobcat19[[#This Row],[Pricing category ]],$H$3:$H$18,0),1)</f>
        <v>Technical Services</v>
      </c>
    </row>
    <row r="160" spans="1:6" hidden="1" x14ac:dyDescent="0.2">
      <c r="A160">
        <v>397</v>
      </c>
      <c r="B160" t="s">
        <v>1214</v>
      </c>
      <c r="C160" t="s">
        <v>425</v>
      </c>
      <c r="D160" t="s">
        <v>1215</v>
      </c>
      <c r="E160" s="191" t="s">
        <v>92</v>
      </c>
      <c r="F160" t="str">
        <f>INDEX($I$3:$I$18,MATCH(jobcat19[[#This Row],[Pricing category ]],$H$3:$H$18,0),1)</f>
        <v xml:space="preserve">Professional Services </v>
      </c>
    </row>
    <row r="161" spans="1:6" x14ac:dyDescent="0.2">
      <c r="A161">
        <v>398</v>
      </c>
      <c r="B161" t="s">
        <v>1161</v>
      </c>
      <c r="C161" t="s">
        <v>360</v>
      </c>
      <c r="D161" t="s">
        <v>206</v>
      </c>
      <c r="E161" t="s">
        <v>953</v>
      </c>
      <c r="F161" t="str">
        <f>INDEX($I$3:$I$18,MATCH(jobcat19[[#This Row],[Pricing category ]],$H$3:$H$18,0),1)</f>
        <v>Technical Services</v>
      </c>
    </row>
    <row r="162" spans="1:6" hidden="1" x14ac:dyDescent="0.2">
      <c r="A162">
        <v>399</v>
      </c>
      <c r="B162" t="s">
        <v>1216</v>
      </c>
      <c r="C162" t="s">
        <v>1217</v>
      </c>
      <c r="D162" t="s">
        <v>1162</v>
      </c>
      <c r="E162" s="191" t="s">
        <v>92</v>
      </c>
      <c r="F162" t="str">
        <f>INDEX($I$3:$I$18,MATCH(jobcat19[[#This Row],[Pricing category ]],$H$3:$H$18,0),1)</f>
        <v xml:space="preserve">Professional Services </v>
      </c>
    </row>
    <row r="163" spans="1:6" hidden="1" x14ac:dyDescent="0.2">
      <c r="A163">
        <v>400</v>
      </c>
      <c r="B163" t="s">
        <v>1218</v>
      </c>
      <c r="C163" t="s">
        <v>1219</v>
      </c>
      <c r="D163" t="s">
        <v>1152</v>
      </c>
      <c r="E163" s="191" t="s">
        <v>956</v>
      </c>
      <c r="F163" t="str">
        <f>INDEX($I$3:$I$18,MATCH(jobcat19[[#This Row],[Pricing category ]],$H$3:$H$18,0),1)</f>
        <v xml:space="preserve">Professional Services </v>
      </c>
    </row>
    <row r="164" spans="1:6" hidden="1" x14ac:dyDescent="0.2">
      <c r="A164">
        <v>401</v>
      </c>
      <c r="B164" t="s">
        <v>1220</v>
      </c>
      <c r="C164" t="s">
        <v>548</v>
      </c>
      <c r="D164" t="s">
        <v>1221</v>
      </c>
      <c r="E164" s="191" t="s">
        <v>969</v>
      </c>
      <c r="F164" t="str">
        <f>INDEX($I$3:$I$18,MATCH(jobcat19[[#This Row],[Pricing category ]],$H$3:$H$18,0),1)</f>
        <v xml:space="preserve">Professional Services </v>
      </c>
    </row>
    <row r="165" spans="1:6" x14ac:dyDescent="0.2">
      <c r="A165">
        <v>402</v>
      </c>
      <c r="B165" t="s">
        <v>1222</v>
      </c>
      <c r="C165" t="s">
        <v>1223</v>
      </c>
      <c r="D165" t="s">
        <v>318</v>
      </c>
      <c r="E165" s="191" t="s">
        <v>953</v>
      </c>
      <c r="F165" t="str">
        <f>INDEX($I$3:$I$18,MATCH(jobcat19[[#This Row],[Pricing category ]],$H$3:$H$18,0),1)</f>
        <v>Technical Services</v>
      </c>
    </row>
    <row r="166" spans="1:6" hidden="1" x14ac:dyDescent="0.2">
      <c r="A166">
        <v>403</v>
      </c>
      <c r="B166" t="s">
        <v>1224</v>
      </c>
      <c r="C166" t="s">
        <v>1225</v>
      </c>
      <c r="D166" t="s">
        <v>1152</v>
      </c>
      <c r="E166" s="191" t="s">
        <v>956</v>
      </c>
      <c r="F166" t="str">
        <f>INDEX($I$3:$I$18,MATCH(jobcat19[[#This Row],[Pricing category ]],$H$3:$H$18,0),1)</f>
        <v xml:space="preserve">Professional Services </v>
      </c>
    </row>
    <row r="167" spans="1:6" x14ac:dyDescent="0.2">
      <c r="A167">
        <v>404</v>
      </c>
      <c r="B167" t="s">
        <v>1226</v>
      </c>
      <c r="C167" t="s">
        <v>441</v>
      </c>
      <c r="D167" t="s">
        <v>975</v>
      </c>
      <c r="E167" s="191" t="s">
        <v>372</v>
      </c>
      <c r="F167" t="str">
        <f>INDEX($I$3:$I$18,MATCH(jobcat19[[#This Row],[Pricing category ]],$H$3:$H$18,0),1)</f>
        <v>Technical Services</v>
      </c>
    </row>
    <row r="168" spans="1:6" x14ac:dyDescent="0.2">
      <c r="A168">
        <v>405</v>
      </c>
      <c r="B168" t="s">
        <v>1227</v>
      </c>
      <c r="C168" t="s">
        <v>363</v>
      </c>
      <c r="D168" t="s">
        <v>364</v>
      </c>
      <c r="E168" s="191" t="s">
        <v>964</v>
      </c>
      <c r="F168" t="str">
        <f>INDEX($I$3:$I$18,MATCH(jobcat19[[#This Row],[Pricing category ]],$H$3:$H$18,0),1)</f>
        <v>Technical Services</v>
      </c>
    </row>
    <row r="169" spans="1:6" hidden="1" x14ac:dyDescent="0.2">
      <c r="A169">
        <v>406</v>
      </c>
      <c r="B169" t="s">
        <v>1228</v>
      </c>
      <c r="C169" t="s">
        <v>1229</v>
      </c>
      <c r="D169" t="s">
        <v>1230</v>
      </c>
      <c r="E169" s="191" t="s">
        <v>969</v>
      </c>
      <c r="F169" t="str">
        <f>INDEX($I$3:$I$18,MATCH(jobcat19[[#This Row],[Pricing category ]],$H$3:$H$18,0),1)</f>
        <v xml:space="preserve">Professional Services </v>
      </c>
    </row>
    <row r="170" spans="1:6" hidden="1" x14ac:dyDescent="0.2">
      <c r="A170">
        <v>407</v>
      </c>
      <c r="B170" t="s">
        <v>1231</v>
      </c>
      <c r="C170" t="s">
        <v>526</v>
      </c>
      <c r="D170" t="s">
        <v>1232</v>
      </c>
      <c r="E170" s="191" t="s">
        <v>92</v>
      </c>
      <c r="F170" t="str">
        <f>INDEX($I$3:$I$18,MATCH(jobcat19[[#This Row],[Pricing category ]],$H$3:$H$18,0),1)</f>
        <v xml:space="preserve">Professional Services </v>
      </c>
    </row>
    <row r="171" spans="1:6" x14ac:dyDescent="0.2">
      <c r="A171">
        <v>408</v>
      </c>
      <c r="B171" t="s">
        <v>1233</v>
      </c>
      <c r="C171" t="s">
        <v>444</v>
      </c>
      <c r="D171" t="s">
        <v>372</v>
      </c>
      <c r="E171" s="191" t="s">
        <v>372</v>
      </c>
      <c r="F171" t="str">
        <f>INDEX($I$3:$I$18,MATCH(jobcat19[[#This Row],[Pricing category ]],$H$3:$H$18,0),1)</f>
        <v>Technical Services</v>
      </c>
    </row>
    <row r="172" spans="1:6" hidden="1" x14ac:dyDescent="0.2">
      <c r="A172">
        <v>409</v>
      </c>
      <c r="B172" t="s">
        <v>1234</v>
      </c>
      <c r="C172" t="s">
        <v>1235</v>
      </c>
      <c r="D172" t="s">
        <v>1236</v>
      </c>
      <c r="E172" t="s">
        <v>92</v>
      </c>
      <c r="F172" t="str">
        <f>INDEX($I$3:$I$18,MATCH(jobcat19[[#This Row],[Pricing category ]],$H$3:$H$18,0),1)</f>
        <v xml:space="preserve">Professional Services </v>
      </c>
    </row>
    <row r="173" spans="1:6" x14ac:dyDescent="0.2">
      <c r="A173">
        <v>410</v>
      </c>
      <c r="B173" t="s">
        <v>1237</v>
      </c>
      <c r="C173" t="s">
        <v>1238</v>
      </c>
      <c r="D173" t="s">
        <v>372</v>
      </c>
      <c r="E173" s="191" t="s">
        <v>372</v>
      </c>
      <c r="F173" t="str">
        <f>INDEX($I$3:$I$18,MATCH(jobcat19[[#This Row],[Pricing category ]],$H$3:$H$18,0),1)</f>
        <v>Technical Services</v>
      </c>
    </row>
    <row r="174" spans="1:6" x14ac:dyDescent="0.2">
      <c r="A174">
        <v>411</v>
      </c>
      <c r="B174" t="s">
        <v>1239</v>
      </c>
      <c r="C174" t="s">
        <v>428</v>
      </c>
      <c r="D174" t="s">
        <v>169</v>
      </c>
      <c r="E174" t="s">
        <v>948</v>
      </c>
      <c r="F174" t="str">
        <f>INDEX($I$3:$I$18,MATCH(jobcat19[[#This Row],[Pricing category ]],$H$3:$H$18,0),1)</f>
        <v>Technical Services</v>
      </c>
    </row>
    <row r="175" spans="1:6" x14ac:dyDescent="0.2">
      <c r="A175">
        <v>412</v>
      </c>
      <c r="B175" t="s">
        <v>1240</v>
      </c>
      <c r="C175" t="s">
        <v>368</v>
      </c>
      <c r="D175" t="s">
        <v>975</v>
      </c>
      <c r="E175" t="s">
        <v>372</v>
      </c>
      <c r="F175" t="str">
        <f>INDEX($I$3:$I$18,MATCH(jobcat19[[#This Row],[Pricing category ]],$H$3:$H$18,0),1)</f>
        <v>Technical Services</v>
      </c>
    </row>
    <row r="176" spans="1:6" hidden="1" x14ac:dyDescent="0.2">
      <c r="A176">
        <v>413</v>
      </c>
      <c r="B176" t="s">
        <v>1241</v>
      </c>
      <c r="C176" t="s">
        <v>1242</v>
      </c>
      <c r="D176" t="s">
        <v>1243</v>
      </c>
      <c r="E176" t="s">
        <v>92</v>
      </c>
      <c r="F176" t="str">
        <f>INDEX($I$3:$I$18,MATCH(jobcat19[[#This Row],[Pricing category ]],$H$3:$H$18,0),1)</f>
        <v xml:space="preserve">Professional Services </v>
      </c>
    </row>
    <row r="177" spans="1:6" x14ac:dyDescent="0.2">
      <c r="A177">
        <v>414</v>
      </c>
      <c r="B177" t="s">
        <v>1244</v>
      </c>
      <c r="C177" t="s">
        <v>379</v>
      </c>
      <c r="D177" t="s">
        <v>372</v>
      </c>
      <c r="E177" t="s">
        <v>372</v>
      </c>
      <c r="F177" t="str">
        <f>INDEX($I$3:$I$18,MATCH(jobcat19[[#This Row],[Pricing category ]],$H$3:$H$18,0),1)</f>
        <v>Technical Services</v>
      </c>
    </row>
    <row r="178" spans="1:6" x14ac:dyDescent="0.2">
      <c r="A178">
        <v>415</v>
      </c>
      <c r="B178" t="s">
        <v>1245</v>
      </c>
      <c r="C178" t="s">
        <v>788</v>
      </c>
      <c r="D178" t="s">
        <v>1246</v>
      </c>
      <c r="E178" t="s">
        <v>372</v>
      </c>
      <c r="F178" t="str">
        <f>INDEX($I$3:$I$18,MATCH(jobcat19[[#This Row],[Pricing category ]],$H$3:$H$18,0),1)</f>
        <v>Technical Services</v>
      </c>
    </row>
    <row r="179" spans="1:6" x14ac:dyDescent="0.2">
      <c r="A179">
        <v>416</v>
      </c>
      <c r="B179" t="s">
        <v>1247</v>
      </c>
      <c r="C179" t="s">
        <v>1248</v>
      </c>
      <c r="D179" t="s">
        <v>1246</v>
      </c>
      <c r="E179" t="s">
        <v>372</v>
      </c>
      <c r="F179" t="str">
        <f>INDEX($I$3:$I$18,MATCH(jobcat19[[#This Row],[Pricing category ]],$H$3:$H$18,0),1)</f>
        <v>Technical Services</v>
      </c>
    </row>
    <row r="180" spans="1:6" x14ac:dyDescent="0.2">
      <c r="A180">
        <v>417</v>
      </c>
      <c r="B180" t="s">
        <v>1249</v>
      </c>
      <c r="C180" t="s">
        <v>1250</v>
      </c>
      <c r="D180" t="s">
        <v>1246</v>
      </c>
      <c r="E180" s="191" t="s">
        <v>372</v>
      </c>
      <c r="F180" t="str">
        <f>INDEX($I$3:$I$18,MATCH(jobcat19[[#This Row],[Pricing category ]],$H$3:$H$18,0),1)</f>
        <v>Technical Services</v>
      </c>
    </row>
    <row r="181" spans="1:6" x14ac:dyDescent="0.2">
      <c r="A181">
        <v>418</v>
      </c>
      <c r="B181" t="s">
        <v>1251</v>
      </c>
      <c r="C181" t="s">
        <v>376</v>
      </c>
      <c r="D181" t="s">
        <v>372</v>
      </c>
      <c r="E181" t="s">
        <v>372</v>
      </c>
      <c r="F181" t="str">
        <f>INDEX($I$3:$I$18,MATCH(jobcat19[[#This Row],[Pricing category ]],$H$3:$H$18,0),1)</f>
        <v>Technical Services</v>
      </c>
    </row>
    <row r="182" spans="1:6" x14ac:dyDescent="0.2">
      <c r="A182">
        <v>419</v>
      </c>
      <c r="B182" t="s">
        <v>1252</v>
      </c>
      <c r="C182" t="s">
        <v>371</v>
      </c>
      <c r="D182" t="s">
        <v>372</v>
      </c>
      <c r="E182" t="s">
        <v>372</v>
      </c>
      <c r="F182" t="str">
        <f>INDEX($I$3:$I$18,MATCH(jobcat19[[#This Row],[Pricing category ]],$H$3:$H$18,0),1)</f>
        <v>Technical Services</v>
      </c>
    </row>
    <row r="183" spans="1:6" x14ac:dyDescent="0.2">
      <c r="A183">
        <v>420</v>
      </c>
      <c r="B183" t="s">
        <v>1253</v>
      </c>
      <c r="C183" t="s">
        <v>374</v>
      </c>
      <c r="D183" t="s">
        <v>372</v>
      </c>
      <c r="E183" t="s">
        <v>372</v>
      </c>
      <c r="F183" t="str">
        <f>INDEX($I$3:$I$18,MATCH(jobcat19[[#This Row],[Pricing category ]],$H$3:$H$18,0),1)</f>
        <v>Technical Services</v>
      </c>
    </row>
    <row r="184" spans="1:6" x14ac:dyDescent="0.2">
      <c r="A184">
        <v>421</v>
      </c>
      <c r="B184" t="s">
        <v>1254</v>
      </c>
      <c r="C184" t="s">
        <v>383</v>
      </c>
      <c r="D184" t="s">
        <v>975</v>
      </c>
      <c r="E184" s="191" t="s">
        <v>372</v>
      </c>
      <c r="F184" t="str">
        <f>INDEX($I$3:$I$18,MATCH(jobcat19[[#This Row],[Pricing category ]],$H$3:$H$18,0),1)</f>
        <v>Technical Services</v>
      </c>
    </row>
    <row r="185" spans="1:6" x14ac:dyDescent="0.2">
      <c r="A185">
        <v>422</v>
      </c>
      <c r="B185" t="s">
        <v>1255</v>
      </c>
      <c r="C185" t="s">
        <v>1256</v>
      </c>
      <c r="D185" t="s">
        <v>372</v>
      </c>
      <c r="E185" s="191" t="s">
        <v>372</v>
      </c>
      <c r="F185" t="str">
        <f>INDEX($I$3:$I$18,MATCH(jobcat19[[#This Row],[Pricing category ]],$H$3:$H$18,0),1)</f>
        <v>Technical Services</v>
      </c>
    </row>
    <row r="186" spans="1:6" x14ac:dyDescent="0.2">
      <c r="A186">
        <v>423</v>
      </c>
      <c r="B186" t="s">
        <v>1257</v>
      </c>
      <c r="C186" t="s">
        <v>1258</v>
      </c>
      <c r="D186" t="s">
        <v>372</v>
      </c>
      <c r="E186" s="191" t="s">
        <v>372</v>
      </c>
      <c r="F186" t="str">
        <f>INDEX($I$3:$I$18,MATCH(jobcat19[[#This Row],[Pricing category ]],$H$3:$H$18,0),1)</f>
        <v>Technical Services</v>
      </c>
    </row>
    <row r="187" spans="1:6" hidden="1" x14ac:dyDescent="0.2">
      <c r="A187">
        <v>424</v>
      </c>
      <c r="B187" t="s">
        <v>1259</v>
      </c>
      <c r="C187" t="s">
        <v>1260</v>
      </c>
      <c r="D187" t="s">
        <v>346</v>
      </c>
      <c r="E187" s="191" t="s">
        <v>347</v>
      </c>
      <c r="F187" t="str">
        <f>INDEX($I$3:$I$18,MATCH(jobcat19[[#This Row],[Pricing category ]],$H$3:$H$18,0),1)</f>
        <v xml:space="preserve">Professional Services </v>
      </c>
    </row>
    <row r="188" spans="1:6" x14ac:dyDescent="0.2">
      <c r="A188">
        <v>425</v>
      </c>
      <c r="B188" t="s">
        <v>1261</v>
      </c>
      <c r="C188" t="s">
        <v>1262</v>
      </c>
      <c r="D188" t="s">
        <v>372</v>
      </c>
      <c r="E188" t="s">
        <v>372</v>
      </c>
      <c r="F188" t="str">
        <f>INDEX($I$3:$I$18,MATCH(jobcat19[[#This Row],[Pricing category ]],$H$3:$H$18,0),1)</f>
        <v>Technical Services</v>
      </c>
    </row>
    <row r="189" spans="1:6" x14ac:dyDescent="0.2">
      <c r="A189">
        <v>426</v>
      </c>
      <c r="B189" t="s">
        <v>1263</v>
      </c>
      <c r="C189" t="s">
        <v>396</v>
      </c>
      <c r="D189" t="s">
        <v>1264</v>
      </c>
      <c r="E189" t="s">
        <v>953</v>
      </c>
      <c r="F189" t="str">
        <f>INDEX($I$3:$I$18,MATCH(jobcat19[[#This Row],[Pricing category ]],$H$3:$H$18,0),1)</f>
        <v>Technical Services</v>
      </c>
    </row>
    <row r="190" spans="1:6" x14ac:dyDescent="0.2">
      <c r="A190">
        <v>427</v>
      </c>
      <c r="B190" t="s">
        <v>1265</v>
      </c>
      <c r="C190" t="s">
        <v>1266</v>
      </c>
      <c r="D190" t="s">
        <v>206</v>
      </c>
      <c r="E190" s="191" t="s">
        <v>953</v>
      </c>
      <c r="F190" t="str">
        <f>INDEX($I$3:$I$18,MATCH(jobcat19[[#This Row],[Pricing category ]],$H$3:$H$18,0),1)</f>
        <v>Technical Services</v>
      </c>
    </row>
    <row r="191" spans="1:6" x14ac:dyDescent="0.2">
      <c r="A191">
        <v>428</v>
      </c>
      <c r="B191" t="s">
        <v>1267</v>
      </c>
      <c r="C191" t="s">
        <v>399</v>
      </c>
      <c r="D191" t="s">
        <v>318</v>
      </c>
      <c r="E191" s="191" t="s">
        <v>953</v>
      </c>
      <c r="F191" t="str">
        <f>INDEX($I$3:$I$18,MATCH(jobcat19[[#This Row],[Pricing category ]],$H$3:$H$18,0),1)</f>
        <v>Technical Services</v>
      </c>
    </row>
    <row r="192" spans="1:6" x14ac:dyDescent="0.2">
      <c r="A192">
        <v>429</v>
      </c>
      <c r="B192" t="s">
        <v>1268</v>
      </c>
      <c r="C192" t="s">
        <v>922</v>
      </c>
      <c r="D192" t="s">
        <v>1269</v>
      </c>
      <c r="E192" s="191" t="s">
        <v>953</v>
      </c>
      <c r="F192" t="str">
        <f>INDEX($I$3:$I$18,MATCH(jobcat19[[#This Row],[Pricing category ]],$H$3:$H$18,0),1)</f>
        <v>Technical Services</v>
      </c>
    </row>
    <row r="193" spans="1:6" x14ac:dyDescent="0.2">
      <c r="A193">
        <v>430</v>
      </c>
      <c r="B193" t="s">
        <v>1270</v>
      </c>
      <c r="C193" t="s">
        <v>1271</v>
      </c>
      <c r="D193" t="s">
        <v>1269</v>
      </c>
      <c r="E193" t="s">
        <v>953</v>
      </c>
      <c r="F193" t="str">
        <f>INDEX($I$3:$I$18,MATCH(jobcat19[[#This Row],[Pricing category ]],$H$3:$H$18,0),1)</f>
        <v>Technical Services</v>
      </c>
    </row>
    <row r="194" spans="1:6" x14ac:dyDescent="0.2">
      <c r="A194">
        <v>431</v>
      </c>
      <c r="B194" t="s">
        <v>1272</v>
      </c>
      <c r="C194" t="s">
        <v>1273</v>
      </c>
      <c r="D194" t="s">
        <v>1269</v>
      </c>
      <c r="E194" t="s">
        <v>953</v>
      </c>
      <c r="F194" t="str">
        <f>INDEX($I$3:$I$18,MATCH(jobcat19[[#This Row],[Pricing category ]],$H$3:$H$18,0),1)</f>
        <v>Technical Services</v>
      </c>
    </row>
    <row r="195" spans="1:6" hidden="1" x14ac:dyDescent="0.2">
      <c r="A195">
        <v>432</v>
      </c>
      <c r="B195" t="s">
        <v>1274</v>
      </c>
      <c r="C195" t="s">
        <v>259</v>
      </c>
      <c r="D195" t="s">
        <v>594</v>
      </c>
      <c r="E195" t="s">
        <v>118</v>
      </c>
      <c r="F195" t="str">
        <f>INDEX($I$3:$I$18,MATCH(jobcat19[[#This Row],[Pricing category ]],$H$3:$H$18,0),1)</f>
        <v xml:space="preserve">Professional Services </v>
      </c>
    </row>
    <row r="196" spans="1:6" x14ac:dyDescent="0.2">
      <c r="A196">
        <v>433</v>
      </c>
      <c r="B196" t="s">
        <v>1275</v>
      </c>
      <c r="C196" t="s">
        <v>1276</v>
      </c>
      <c r="D196" t="s">
        <v>1269</v>
      </c>
      <c r="E196" s="191" t="s">
        <v>953</v>
      </c>
      <c r="F196" t="str">
        <f>INDEX($I$3:$I$18,MATCH(jobcat19[[#This Row],[Pricing category ]],$H$3:$H$18,0),1)</f>
        <v>Technical Services</v>
      </c>
    </row>
    <row r="197" spans="1:6" x14ac:dyDescent="0.2">
      <c r="A197">
        <v>434</v>
      </c>
      <c r="B197" t="s">
        <v>1277</v>
      </c>
      <c r="C197" t="s">
        <v>355</v>
      </c>
      <c r="D197" t="s">
        <v>356</v>
      </c>
      <c r="E197" t="s">
        <v>964</v>
      </c>
      <c r="F197" t="str">
        <f>INDEX($I$3:$I$18,MATCH(jobcat19[[#This Row],[Pricing category ]],$H$3:$H$18,0),1)</f>
        <v>Technical Services</v>
      </c>
    </row>
    <row r="198" spans="1:6" hidden="1" x14ac:dyDescent="0.2">
      <c r="A198">
        <v>435</v>
      </c>
      <c r="B198" t="s">
        <v>1278</v>
      </c>
      <c r="C198" t="s">
        <v>1279</v>
      </c>
      <c r="D198" t="s">
        <v>1280</v>
      </c>
      <c r="E198" s="191" t="s">
        <v>92</v>
      </c>
      <c r="F198" t="str">
        <f>INDEX($I$3:$I$18,MATCH(jobcat19[[#This Row],[Pricing category ]],$H$3:$H$18,0),1)</f>
        <v xml:space="preserve">Professional Services </v>
      </c>
    </row>
    <row r="199" spans="1:6" hidden="1" x14ac:dyDescent="0.2">
      <c r="A199">
        <v>436</v>
      </c>
      <c r="B199" t="s">
        <v>1281</v>
      </c>
      <c r="C199" t="s">
        <v>1282</v>
      </c>
      <c r="D199" t="s">
        <v>1283</v>
      </c>
      <c r="E199" s="191" t="s">
        <v>118</v>
      </c>
      <c r="F199" t="str">
        <f>INDEX($I$3:$I$18,MATCH(jobcat19[[#This Row],[Pricing category ]],$H$3:$H$18,0),1)</f>
        <v xml:space="preserve">Professional Services </v>
      </c>
    </row>
    <row r="200" spans="1:6" hidden="1" x14ac:dyDescent="0.2">
      <c r="A200">
        <v>437</v>
      </c>
      <c r="B200" t="s">
        <v>1284</v>
      </c>
      <c r="C200" t="s">
        <v>1285</v>
      </c>
      <c r="D200" t="s">
        <v>1283</v>
      </c>
      <c r="E200" t="s">
        <v>118</v>
      </c>
      <c r="F200" t="str">
        <f>INDEX($I$3:$I$18,MATCH(jobcat19[[#This Row],[Pricing category ]],$H$3:$H$18,0),1)</f>
        <v xml:space="preserve">Professional Services </v>
      </c>
    </row>
    <row r="201" spans="1:6" hidden="1" x14ac:dyDescent="0.2">
      <c r="A201">
        <v>438</v>
      </c>
      <c r="B201" t="s">
        <v>1284</v>
      </c>
      <c r="C201" t="s">
        <v>1286</v>
      </c>
      <c r="D201" t="s">
        <v>1283</v>
      </c>
      <c r="E201" t="s">
        <v>118</v>
      </c>
      <c r="F201" t="str">
        <f>INDEX($I$3:$I$18,MATCH(jobcat19[[#This Row],[Pricing category ]],$H$3:$H$18,0),1)</f>
        <v xml:space="preserve">Professional Services </v>
      </c>
    </row>
    <row r="202" spans="1:6" hidden="1" x14ac:dyDescent="0.2">
      <c r="A202">
        <v>439</v>
      </c>
      <c r="B202" t="s">
        <v>1287</v>
      </c>
      <c r="C202" t="s">
        <v>402</v>
      </c>
      <c r="D202" t="s">
        <v>594</v>
      </c>
      <c r="E202" t="s">
        <v>118</v>
      </c>
      <c r="F202" t="str">
        <f>INDEX($I$3:$I$18,MATCH(jobcat19[[#This Row],[Pricing category ]],$H$3:$H$18,0),1)</f>
        <v xml:space="preserve">Professional Services </v>
      </c>
    </row>
    <row r="203" spans="1:6" hidden="1" x14ac:dyDescent="0.2">
      <c r="A203">
        <v>440</v>
      </c>
      <c r="B203" t="s">
        <v>1288</v>
      </c>
      <c r="C203" t="s">
        <v>1289</v>
      </c>
      <c r="D203" t="s">
        <v>1033</v>
      </c>
      <c r="E203" t="s">
        <v>956</v>
      </c>
      <c r="F203" t="str">
        <f>INDEX($I$3:$I$18,MATCH(jobcat19[[#This Row],[Pricing category ]],$H$3:$H$18,0),1)</f>
        <v xml:space="preserve">Professional Services </v>
      </c>
    </row>
    <row r="204" spans="1:6" x14ac:dyDescent="0.2">
      <c r="A204">
        <v>441</v>
      </c>
      <c r="B204" t="s">
        <v>1290</v>
      </c>
      <c r="C204" t="s">
        <v>414</v>
      </c>
      <c r="D204" t="s">
        <v>975</v>
      </c>
      <c r="E204" t="s">
        <v>948</v>
      </c>
      <c r="F204" t="str">
        <f>INDEX($I$3:$I$18,MATCH(jobcat19[[#This Row],[Pricing category ]],$H$3:$H$18,0),1)</f>
        <v>Technical Services</v>
      </c>
    </row>
    <row r="205" spans="1:6" x14ac:dyDescent="0.2">
      <c r="A205">
        <v>442</v>
      </c>
      <c r="B205" t="s">
        <v>1291</v>
      </c>
      <c r="C205" t="s">
        <v>1292</v>
      </c>
      <c r="D205" t="s">
        <v>1293</v>
      </c>
      <c r="E205" t="s">
        <v>372</v>
      </c>
      <c r="F205" t="str">
        <f>INDEX($I$3:$I$18,MATCH(jobcat19[[#This Row],[Pricing category ]],$H$3:$H$18,0),1)</f>
        <v>Technical Services</v>
      </c>
    </row>
    <row r="206" spans="1:6" x14ac:dyDescent="0.2">
      <c r="A206">
        <v>443</v>
      </c>
      <c r="B206" t="s">
        <v>1294</v>
      </c>
      <c r="C206" t="s">
        <v>1295</v>
      </c>
      <c r="D206" t="s">
        <v>1293</v>
      </c>
      <c r="E206" t="s">
        <v>372</v>
      </c>
      <c r="F206" t="str">
        <f>INDEX($I$3:$I$18,MATCH(jobcat19[[#This Row],[Pricing category ]],$H$3:$H$18,0),1)</f>
        <v>Technical Services</v>
      </c>
    </row>
    <row r="207" spans="1:6" x14ac:dyDescent="0.2">
      <c r="A207">
        <v>444</v>
      </c>
      <c r="B207" t="s">
        <v>1296</v>
      </c>
      <c r="C207" t="s">
        <v>590</v>
      </c>
      <c r="D207" t="s">
        <v>1246</v>
      </c>
      <c r="E207" s="191" t="s">
        <v>372</v>
      </c>
      <c r="F207" t="str">
        <f>INDEX($I$3:$I$18,MATCH(jobcat19[[#This Row],[Pricing category ]],$H$3:$H$18,0),1)</f>
        <v>Technical Services</v>
      </c>
    </row>
    <row r="208" spans="1:6" x14ac:dyDescent="0.2">
      <c r="A208">
        <v>445</v>
      </c>
      <c r="B208" t="s">
        <v>1297</v>
      </c>
      <c r="C208" t="s">
        <v>548</v>
      </c>
      <c r="D208" t="s">
        <v>274</v>
      </c>
      <c r="E208" t="s">
        <v>964</v>
      </c>
      <c r="F208" t="str">
        <f>INDEX($I$3:$I$18,MATCH(jobcat19[[#This Row],[Pricing category ]],$H$3:$H$18,0),1)</f>
        <v>Technical Services</v>
      </c>
    </row>
    <row r="209" spans="1:6" x14ac:dyDescent="0.2">
      <c r="A209">
        <v>446</v>
      </c>
      <c r="B209" t="s">
        <v>1298</v>
      </c>
      <c r="C209" t="s">
        <v>1299</v>
      </c>
      <c r="D209" t="s">
        <v>114</v>
      </c>
      <c r="E209" s="191" t="s">
        <v>277</v>
      </c>
      <c r="F209" t="str">
        <f>INDEX($I$3:$I$18,MATCH(jobcat19[[#This Row],[Pricing category ]],$H$3:$H$18,0),1)</f>
        <v>Technical Services</v>
      </c>
    </row>
    <row r="210" spans="1:6" x14ac:dyDescent="0.2">
      <c r="A210">
        <v>447</v>
      </c>
      <c r="B210" t="s">
        <v>408</v>
      </c>
      <c r="C210" t="s">
        <v>409</v>
      </c>
      <c r="D210" t="s">
        <v>274</v>
      </c>
      <c r="E210" s="191" t="s">
        <v>277</v>
      </c>
      <c r="F210" t="str">
        <f>INDEX($I$3:$I$18,MATCH(jobcat19[[#This Row],[Pricing category ]],$H$3:$H$18,0),1)</f>
        <v>Technical Services</v>
      </c>
    </row>
    <row r="211" spans="1:6" x14ac:dyDescent="0.2">
      <c r="A211">
        <v>448</v>
      </c>
      <c r="B211" t="s">
        <v>1300</v>
      </c>
      <c r="C211" t="s">
        <v>1301</v>
      </c>
      <c r="D211" t="s">
        <v>372</v>
      </c>
      <c r="E211" s="191" t="s">
        <v>372</v>
      </c>
      <c r="F211" t="str">
        <f>INDEX($I$3:$I$18,MATCH(jobcat19[[#This Row],[Pricing category ]],$H$3:$H$18,0),1)</f>
        <v>Technical Services</v>
      </c>
    </row>
    <row r="212" spans="1:6" hidden="1" x14ac:dyDescent="0.2">
      <c r="A212">
        <v>449</v>
      </c>
      <c r="B212" t="s">
        <v>1302</v>
      </c>
      <c r="C212" t="s">
        <v>1303</v>
      </c>
      <c r="D212" t="s">
        <v>1304</v>
      </c>
      <c r="E212" s="191" t="s">
        <v>969</v>
      </c>
      <c r="F212" t="str">
        <f>INDEX($I$3:$I$18,MATCH(jobcat19[[#This Row],[Pricing category ]],$H$3:$H$18,0),1)</f>
        <v xml:space="preserve">Professional Services </v>
      </c>
    </row>
    <row r="213" spans="1:6" hidden="1" x14ac:dyDescent="0.2">
      <c r="A213">
        <v>450</v>
      </c>
      <c r="B213" t="s">
        <v>1305</v>
      </c>
      <c r="C213" t="s">
        <v>421</v>
      </c>
      <c r="D213" t="s">
        <v>422</v>
      </c>
      <c r="E213" s="191" t="s">
        <v>118</v>
      </c>
      <c r="F213" t="str">
        <f>INDEX($I$3:$I$18,MATCH(jobcat19[[#This Row],[Pricing category ]],$H$3:$H$18,0),1)</f>
        <v xml:space="preserve">Professional Services </v>
      </c>
    </row>
    <row r="214" spans="1:6" x14ac:dyDescent="0.2">
      <c r="A214">
        <v>451</v>
      </c>
      <c r="B214" t="s">
        <v>1306</v>
      </c>
      <c r="C214" t="s">
        <v>1307</v>
      </c>
      <c r="D214" t="s">
        <v>372</v>
      </c>
      <c r="E214" s="191" t="s">
        <v>372</v>
      </c>
      <c r="F214" t="str">
        <f>INDEX($I$3:$I$18,MATCH(jobcat19[[#This Row],[Pricing category ]],$H$3:$H$18,0),1)</f>
        <v>Technical Services</v>
      </c>
    </row>
    <row r="215" spans="1:6" hidden="1" x14ac:dyDescent="0.2">
      <c r="A215">
        <v>452</v>
      </c>
      <c r="B215" t="s">
        <v>1308</v>
      </c>
      <c r="C215" t="s">
        <v>1309</v>
      </c>
      <c r="D215" t="s">
        <v>1152</v>
      </c>
      <c r="E215" s="191" t="s">
        <v>956</v>
      </c>
      <c r="F215" t="str">
        <f>INDEX($I$3:$I$18,MATCH(jobcat19[[#This Row],[Pricing category ]],$H$3:$H$18,0),1)</f>
        <v xml:space="preserve">Professional Services </v>
      </c>
    </row>
    <row r="216" spans="1:6" hidden="1" x14ac:dyDescent="0.2">
      <c r="A216">
        <v>453</v>
      </c>
      <c r="B216" t="s">
        <v>1310</v>
      </c>
      <c r="C216" t="s">
        <v>417</v>
      </c>
      <c r="D216" t="s">
        <v>1311</v>
      </c>
      <c r="E216" t="s">
        <v>92</v>
      </c>
      <c r="F216" t="str">
        <f>INDEX($I$3:$I$18,MATCH(jobcat19[[#This Row],[Pricing category ]],$H$3:$H$18,0),1)</f>
        <v xml:space="preserve">Professional Services </v>
      </c>
    </row>
    <row r="217" spans="1:6" hidden="1" x14ac:dyDescent="0.2">
      <c r="A217">
        <v>457</v>
      </c>
      <c r="B217" t="s">
        <v>1312</v>
      </c>
      <c r="C217" t="s">
        <v>351</v>
      </c>
      <c r="D217" t="s">
        <v>352</v>
      </c>
      <c r="E217" s="191" t="s">
        <v>92</v>
      </c>
      <c r="F217" t="str">
        <f>INDEX($I$3:$I$18,MATCH(jobcat19[[#This Row],[Pricing category ]],$H$3:$H$18,0),1)</f>
        <v xml:space="preserve">Professional Services </v>
      </c>
    </row>
    <row r="218" spans="1:6" hidden="1" x14ac:dyDescent="0.2">
      <c r="A218">
        <v>458</v>
      </c>
      <c r="B218" t="s">
        <v>1313</v>
      </c>
      <c r="C218" t="s">
        <v>1314</v>
      </c>
      <c r="D218" t="s">
        <v>1315</v>
      </c>
      <c r="E218" t="s">
        <v>92</v>
      </c>
      <c r="F218" t="str">
        <f>INDEX($I$3:$I$18,MATCH(jobcat19[[#This Row],[Pricing category ]],$H$3:$H$18,0),1)</f>
        <v xml:space="preserve">Professional Services </v>
      </c>
    </row>
    <row r="219" spans="1:6" hidden="1" x14ac:dyDescent="0.2">
      <c r="A219">
        <v>459</v>
      </c>
      <c r="B219" t="s">
        <v>1089</v>
      </c>
      <c r="C219" t="s">
        <v>1316</v>
      </c>
      <c r="D219" t="s">
        <v>1317</v>
      </c>
      <c r="E219" t="s">
        <v>92</v>
      </c>
      <c r="F219" t="str">
        <f>INDEX($I$3:$I$18,MATCH(jobcat19[[#This Row],[Pricing category ]],$H$3:$H$18,0),1)</f>
        <v xml:space="preserve">Professional Services </v>
      </c>
    </row>
    <row r="220" spans="1:6" x14ac:dyDescent="0.2">
      <c r="A220">
        <v>460</v>
      </c>
      <c r="B220" t="s">
        <v>1318</v>
      </c>
      <c r="C220" t="s">
        <v>434</v>
      </c>
      <c r="D220" t="s">
        <v>318</v>
      </c>
      <c r="E220" t="s">
        <v>953</v>
      </c>
      <c r="F220" t="str">
        <f>INDEX($I$3:$I$18,MATCH(jobcat19[[#This Row],[Pricing category ]],$H$3:$H$18,0),1)</f>
        <v>Technical Services</v>
      </c>
    </row>
    <row r="221" spans="1:6" x14ac:dyDescent="0.2">
      <c r="A221">
        <v>461</v>
      </c>
      <c r="B221" t="s">
        <v>1319</v>
      </c>
      <c r="C221" t="s">
        <v>1320</v>
      </c>
      <c r="D221" t="s">
        <v>1269</v>
      </c>
      <c r="E221" t="s">
        <v>953</v>
      </c>
      <c r="F221" t="str">
        <f>INDEX($I$3:$I$18,MATCH(jobcat19[[#This Row],[Pricing category ]],$H$3:$H$18,0),1)</f>
        <v>Technical Services</v>
      </c>
    </row>
    <row r="222" spans="1:6" x14ac:dyDescent="0.2">
      <c r="A222">
        <v>462</v>
      </c>
      <c r="B222" t="s">
        <v>1321</v>
      </c>
      <c r="C222" t="s">
        <v>180</v>
      </c>
      <c r="D222" t="s">
        <v>432</v>
      </c>
      <c r="E222" t="s">
        <v>372</v>
      </c>
      <c r="F222" t="str">
        <f>INDEX($I$3:$I$18,MATCH(jobcat19[[#This Row],[Pricing category ]],$H$3:$H$18,0),1)</f>
        <v>Technical Services</v>
      </c>
    </row>
    <row r="223" spans="1:6" x14ac:dyDescent="0.2">
      <c r="A223">
        <v>463</v>
      </c>
      <c r="B223" t="s">
        <v>1322</v>
      </c>
      <c r="C223" t="s">
        <v>307</v>
      </c>
      <c r="D223" t="s">
        <v>372</v>
      </c>
      <c r="E223" t="s">
        <v>948</v>
      </c>
      <c r="F223" t="str">
        <f>INDEX($I$3:$I$18,MATCH(jobcat19[[#This Row],[Pricing category ]],$H$3:$H$18,0),1)</f>
        <v>Technical Services</v>
      </c>
    </row>
    <row r="224" spans="1:6" x14ac:dyDescent="0.2">
      <c r="A224">
        <v>464</v>
      </c>
      <c r="B224" t="s">
        <v>976</v>
      </c>
      <c r="C224" t="s">
        <v>396</v>
      </c>
      <c r="D224" t="s">
        <v>432</v>
      </c>
      <c r="E224" t="s">
        <v>372</v>
      </c>
      <c r="F224" t="str">
        <f>INDEX($I$3:$I$18,MATCH(jobcat19[[#This Row],[Pricing category ]],$H$3:$H$18,0),1)</f>
        <v>Technical Services</v>
      </c>
    </row>
    <row r="225" spans="1:6" x14ac:dyDescent="0.2">
      <c r="A225">
        <v>465</v>
      </c>
      <c r="B225" t="s">
        <v>1323</v>
      </c>
      <c r="C225" t="s">
        <v>180</v>
      </c>
      <c r="D225" t="s">
        <v>372</v>
      </c>
      <c r="E225" t="s">
        <v>372</v>
      </c>
      <c r="F225" t="str">
        <f>INDEX($I$3:$I$18,MATCH(jobcat19[[#This Row],[Pricing category ]],$H$3:$H$18,0),1)</f>
        <v>Technical Services</v>
      </c>
    </row>
    <row r="226" spans="1:6" x14ac:dyDescent="0.2">
      <c r="A226">
        <v>466</v>
      </c>
      <c r="B226" t="s">
        <v>1324</v>
      </c>
      <c r="C226" t="s">
        <v>1325</v>
      </c>
      <c r="D226" t="s">
        <v>1246</v>
      </c>
      <c r="E226" t="s">
        <v>372</v>
      </c>
      <c r="F226" t="str">
        <f>INDEX($I$3:$I$18,MATCH(jobcat19[[#This Row],[Pricing category ]],$H$3:$H$18,0),1)</f>
        <v>Technical Services</v>
      </c>
    </row>
    <row r="227" spans="1:6" x14ac:dyDescent="0.2">
      <c r="A227">
        <v>467</v>
      </c>
      <c r="B227" t="s">
        <v>1326</v>
      </c>
      <c r="C227" t="s">
        <v>612</v>
      </c>
      <c r="D227" t="s">
        <v>1246</v>
      </c>
      <c r="E227" t="s">
        <v>372</v>
      </c>
      <c r="F227" t="str">
        <f>INDEX($I$3:$I$18,MATCH(jobcat19[[#This Row],[Pricing category ]],$H$3:$H$18,0),1)</f>
        <v>Technical Services</v>
      </c>
    </row>
    <row r="228" spans="1:6" x14ac:dyDescent="0.2">
      <c r="A228">
        <v>468</v>
      </c>
      <c r="B228" t="s">
        <v>1327</v>
      </c>
      <c r="C228" t="s">
        <v>1328</v>
      </c>
      <c r="D228" t="s">
        <v>1246</v>
      </c>
      <c r="E228" t="s">
        <v>372</v>
      </c>
      <c r="F228" t="str">
        <f>INDEX($I$3:$I$18,MATCH(jobcat19[[#This Row],[Pricing category ]],$H$3:$H$18,0),1)</f>
        <v>Technical Services</v>
      </c>
    </row>
    <row r="229" spans="1:6" x14ac:dyDescent="0.2">
      <c r="A229">
        <v>469</v>
      </c>
      <c r="B229" t="s">
        <v>859</v>
      </c>
      <c r="C229" t="s">
        <v>1329</v>
      </c>
      <c r="D229" t="s">
        <v>1246</v>
      </c>
      <c r="E229" t="s">
        <v>372</v>
      </c>
      <c r="F229" t="str">
        <f>INDEX($I$3:$I$18,MATCH(jobcat19[[#This Row],[Pricing category ]],$H$3:$H$18,0),1)</f>
        <v>Technical Services</v>
      </c>
    </row>
    <row r="230" spans="1:6" x14ac:dyDescent="0.2">
      <c r="A230">
        <v>470</v>
      </c>
      <c r="B230" t="s">
        <v>1330</v>
      </c>
      <c r="C230" t="s">
        <v>236</v>
      </c>
      <c r="D230" t="s">
        <v>1246</v>
      </c>
      <c r="E230" t="s">
        <v>372</v>
      </c>
      <c r="F230" t="str">
        <f>INDEX($I$3:$I$18,MATCH(jobcat19[[#This Row],[Pricing category ]],$H$3:$H$18,0),1)</f>
        <v>Technical Services</v>
      </c>
    </row>
    <row r="231" spans="1:6" x14ac:dyDescent="0.2">
      <c r="A231">
        <v>471</v>
      </c>
      <c r="B231" t="s">
        <v>1331</v>
      </c>
      <c r="C231" t="s">
        <v>1332</v>
      </c>
      <c r="D231" t="s">
        <v>206</v>
      </c>
      <c r="E231" t="s">
        <v>953</v>
      </c>
      <c r="F231" t="str">
        <f>INDEX($I$3:$I$18,MATCH(jobcat19[[#This Row],[Pricing category ]],$H$3:$H$18,0),1)</f>
        <v>Technical Services</v>
      </c>
    </row>
    <row r="232" spans="1:6" x14ac:dyDescent="0.2">
      <c r="A232">
        <v>472</v>
      </c>
      <c r="B232" t="s">
        <v>1333</v>
      </c>
      <c r="C232" t="s">
        <v>215</v>
      </c>
      <c r="D232" t="s">
        <v>1334</v>
      </c>
      <c r="E232" t="s">
        <v>372</v>
      </c>
      <c r="F232" t="str">
        <f>INDEX($I$3:$I$18,MATCH(jobcat19[[#This Row],[Pricing category ]],$H$3:$H$18,0),1)</f>
        <v>Technical Services</v>
      </c>
    </row>
    <row r="233" spans="1:6" x14ac:dyDescent="0.2">
      <c r="A233">
        <v>473</v>
      </c>
      <c r="B233" t="s">
        <v>1335</v>
      </c>
      <c r="C233" t="s">
        <v>447</v>
      </c>
      <c r="D233" t="s">
        <v>206</v>
      </c>
      <c r="E233" t="s">
        <v>953</v>
      </c>
      <c r="F233" t="str">
        <f>INDEX($I$3:$I$18,MATCH(jobcat19[[#This Row],[Pricing category ]],$H$3:$H$18,0),1)</f>
        <v>Technical Services</v>
      </c>
    </row>
    <row r="234" spans="1:6" hidden="1" x14ac:dyDescent="0.2">
      <c r="A234">
        <v>474</v>
      </c>
      <c r="B234" t="s">
        <v>1336</v>
      </c>
      <c r="C234" t="s">
        <v>259</v>
      </c>
      <c r="D234" t="s">
        <v>1337</v>
      </c>
      <c r="E234" t="s">
        <v>92</v>
      </c>
      <c r="F234" t="str">
        <f>INDEX($I$3:$I$18,MATCH(jobcat19[[#This Row],[Pricing category ]],$H$3:$H$18,0),1)</f>
        <v xml:space="preserve">Professional Services </v>
      </c>
    </row>
    <row r="235" spans="1:6" x14ac:dyDescent="0.2">
      <c r="A235">
        <v>475</v>
      </c>
      <c r="B235" t="s">
        <v>1338</v>
      </c>
      <c r="C235" t="s">
        <v>1339</v>
      </c>
      <c r="D235" t="s">
        <v>1340</v>
      </c>
      <c r="E235" t="s">
        <v>953</v>
      </c>
      <c r="F235" t="str">
        <f>INDEX($I$3:$I$18,MATCH(jobcat19[[#This Row],[Pricing category ]],$H$3:$H$18,0),1)</f>
        <v>Technical Services</v>
      </c>
    </row>
    <row r="236" spans="1:6" x14ac:dyDescent="0.2">
      <c r="A236">
        <v>476</v>
      </c>
      <c r="B236" t="s">
        <v>1341</v>
      </c>
      <c r="C236" t="s">
        <v>1342</v>
      </c>
      <c r="D236" t="s">
        <v>1340</v>
      </c>
      <c r="E236" t="s">
        <v>953</v>
      </c>
      <c r="F236" t="str">
        <f>INDEX($I$3:$I$18,MATCH(jobcat19[[#This Row],[Pricing category ]],$H$3:$H$18,0),1)</f>
        <v>Technical Services</v>
      </c>
    </row>
    <row r="237" spans="1:6" x14ac:dyDescent="0.2">
      <c r="A237">
        <v>477</v>
      </c>
      <c r="B237" t="s">
        <v>1343</v>
      </c>
      <c r="C237" t="s">
        <v>1344</v>
      </c>
      <c r="D237" t="s">
        <v>1340</v>
      </c>
      <c r="E237" t="s">
        <v>953</v>
      </c>
      <c r="F237" t="str">
        <f>INDEX($I$3:$I$18,MATCH(jobcat19[[#This Row],[Pricing category ]],$H$3:$H$18,0),1)</f>
        <v>Technical Services</v>
      </c>
    </row>
    <row r="238" spans="1:6" hidden="1" x14ac:dyDescent="0.2">
      <c r="A238">
        <v>478</v>
      </c>
      <c r="B238" t="s">
        <v>1345</v>
      </c>
      <c r="C238" t="s">
        <v>1346</v>
      </c>
      <c r="D238" t="s">
        <v>1347</v>
      </c>
      <c r="E238" t="s">
        <v>956</v>
      </c>
      <c r="F238" t="str">
        <f>INDEX($I$3:$I$18,MATCH(jobcat19[[#This Row],[Pricing category ]],$H$3:$H$18,0),1)</f>
        <v xml:space="preserve">Professional Services </v>
      </c>
    </row>
    <row r="239" spans="1:6" hidden="1" x14ac:dyDescent="0.2">
      <c r="A239">
        <v>479</v>
      </c>
      <c r="B239" t="s">
        <v>1348</v>
      </c>
      <c r="C239" t="s">
        <v>1349</v>
      </c>
      <c r="D239" t="s">
        <v>1347</v>
      </c>
      <c r="E239" t="s">
        <v>956</v>
      </c>
      <c r="F239" t="str">
        <f>INDEX($I$3:$I$18,MATCH(jobcat19[[#This Row],[Pricing category ]],$H$3:$H$18,0),1)</f>
        <v xml:space="preserve">Professional Services </v>
      </c>
    </row>
    <row r="240" spans="1:6" hidden="1" x14ac:dyDescent="0.2">
      <c r="A240">
        <v>480</v>
      </c>
      <c r="B240" t="s">
        <v>1350</v>
      </c>
      <c r="C240" t="s">
        <v>1351</v>
      </c>
      <c r="D240" t="s">
        <v>1347</v>
      </c>
      <c r="E240" t="s">
        <v>956</v>
      </c>
      <c r="F240" t="str">
        <f>INDEX($I$3:$I$18,MATCH(jobcat19[[#This Row],[Pricing category ]],$H$3:$H$18,0),1)</f>
        <v xml:space="preserve">Professional Services </v>
      </c>
    </row>
    <row r="241" spans="1:6" hidden="1" x14ac:dyDescent="0.2">
      <c r="A241">
        <v>481</v>
      </c>
      <c r="B241" t="s">
        <v>877</v>
      </c>
      <c r="C241" t="s">
        <v>1352</v>
      </c>
      <c r="D241" t="s">
        <v>1347</v>
      </c>
      <c r="E241" t="s">
        <v>956</v>
      </c>
      <c r="F241" t="str">
        <f>INDEX($I$3:$I$18,MATCH(jobcat19[[#This Row],[Pricing category ]],$H$3:$H$18,0),1)</f>
        <v xml:space="preserve">Professional Services </v>
      </c>
    </row>
    <row r="242" spans="1:6" x14ac:dyDescent="0.2">
      <c r="A242">
        <v>482</v>
      </c>
      <c r="B242" t="s">
        <v>1353</v>
      </c>
      <c r="C242" t="s">
        <v>252</v>
      </c>
      <c r="D242" t="s">
        <v>318</v>
      </c>
      <c r="E242" t="s">
        <v>953</v>
      </c>
      <c r="F242" t="str">
        <f>INDEX($I$3:$I$18,MATCH(jobcat19[[#This Row],[Pricing category ]],$H$3:$H$18,0),1)</f>
        <v>Technical Services</v>
      </c>
    </row>
    <row r="243" spans="1:6" hidden="1" x14ac:dyDescent="0.2">
      <c r="A243">
        <v>483</v>
      </c>
      <c r="B243" t="s">
        <v>1354</v>
      </c>
      <c r="C243" t="s">
        <v>1355</v>
      </c>
      <c r="D243" t="s">
        <v>1356</v>
      </c>
      <c r="E243" t="s">
        <v>92</v>
      </c>
      <c r="F243" t="str">
        <f>INDEX($I$3:$I$18,MATCH(jobcat19[[#This Row],[Pricing category ]],$H$3:$H$18,0),1)</f>
        <v xml:space="preserve">Professional Services </v>
      </c>
    </row>
    <row r="244" spans="1:6" hidden="1" x14ac:dyDescent="0.2">
      <c r="A244">
        <v>484</v>
      </c>
      <c r="B244" t="s">
        <v>1357</v>
      </c>
      <c r="C244" t="s">
        <v>385</v>
      </c>
      <c r="D244" t="s">
        <v>1358</v>
      </c>
      <c r="E244" t="s">
        <v>956</v>
      </c>
      <c r="F244" t="str">
        <f>INDEX($I$3:$I$18,MATCH(jobcat19[[#This Row],[Pricing category ]],$H$3:$H$18,0),1)</f>
        <v xml:space="preserve">Professional Services </v>
      </c>
    </row>
    <row r="245" spans="1:6" x14ac:dyDescent="0.2">
      <c r="A245">
        <v>485</v>
      </c>
      <c r="B245" t="s">
        <v>1359</v>
      </c>
      <c r="C245" t="s">
        <v>391</v>
      </c>
      <c r="D245" t="s">
        <v>169</v>
      </c>
      <c r="E245" t="s">
        <v>948</v>
      </c>
      <c r="F245" t="str">
        <f>INDEX($I$3:$I$18,MATCH(jobcat19[[#This Row],[Pricing category ]],$H$3:$H$18,0),1)</f>
        <v>Technical Services</v>
      </c>
    </row>
    <row r="246" spans="1:6" hidden="1" x14ac:dyDescent="0.2">
      <c r="A246">
        <v>486</v>
      </c>
      <c r="B246" t="s">
        <v>1360</v>
      </c>
      <c r="C246" t="s">
        <v>1361</v>
      </c>
      <c r="D246" t="s">
        <v>173</v>
      </c>
      <c r="E246" t="s">
        <v>347</v>
      </c>
      <c r="F246" t="str">
        <f>INDEX($I$3:$I$18,MATCH(jobcat19[[#This Row],[Pricing category ]],$H$3:$H$18,0),1)</f>
        <v xml:space="preserve">Professional Services </v>
      </c>
    </row>
    <row r="247" spans="1:6" hidden="1" x14ac:dyDescent="0.2">
      <c r="A247">
        <v>487</v>
      </c>
      <c r="B247" t="s">
        <v>1362</v>
      </c>
      <c r="C247" t="s">
        <v>444</v>
      </c>
      <c r="D247" t="s">
        <v>445</v>
      </c>
      <c r="E247" t="s">
        <v>464</v>
      </c>
      <c r="F247" t="str">
        <f>INDEX($I$3:$I$18,MATCH(jobcat19[[#This Row],[Pricing category ]],$H$3:$H$18,0),1)</f>
        <v xml:space="preserve">Professional Services </v>
      </c>
    </row>
    <row r="248" spans="1:6" hidden="1" x14ac:dyDescent="0.2">
      <c r="A248">
        <v>488</v>
      </c>
      <c r="B248" t="s">
        <v>1363</v>
      </c>
      <c r="C248" t="s">
        <v>1364</v>
      </c>
      <c r="D248" t="s">
        <v>114</v>
      </c>
      <c r="E248" t="s">
        <v>92</v>
      </c>
      <c r="F248" t="str">
        <f>INDEX($I$3:$I$18,MATCH(jobcat19[[#This Row],[Pricing category ]],$H$3:$H$18,0),1)</f>
        <v xml:space="preserve">Professional Services </v>
      </c>
    </row>
    <row r="249" spans="1:6" hidden="1" x14ac:dyDescent="0.2">
      <c r="A249">
        <v>489</v>
      </c>
      <c r="B249" t="s">
        <v>1365</v>
      </c>
      <c r="C249" t="s">
        <v>1366</v>
      </c>
      <c r="D249" t="s">
        <v>1033</v>
      </c>
      <c r="E249" t="s">
        <v>956</v>
      </c>
      <c r="F249" t="str">
        <f>INDEX($I$3:$I$18,MATCH(jobcat19[[#This Row],[Pricing category ]],$H$3:$H$18,0),1)</f>
        <v xml:space="preserve">Professional Services </v>
      </c>
    </row>
    <row r="250" spans="1:6" hidden="1" x14ac:dyDescent="0.2">
      <c r="A250">
        <v>490</v>
      </c>
      <c r="B250" t="s">
        <v>1367</v>
      </c>
      <c r="C250" t="s">
        <v>1368</v>
      </c>
      <c r="D250" t="s">
        <v>346</v>
      </c>
      <c r="E250" s="191" t="s">
        <v>347</v>
      </c>
      <c r="F250" t="str">
        <f>INDEX($I$3:$I$18,MATCH(jobcat19[[#This Row],[Pricing category ]],$H$3:$H$18,0),1)</f>
        <v xml:space="preserve">Professional Services </v>
      </c>
    </row>
    <row r="251" spans="1:6" hidden="1" x14ac:dyDescent="0.2">
      <c r="A251">
        <v>491</v>
      </c>
      <c r="B251" t="s">
        <v>1369</v>
      </c>
      <c r="C251" t="s">
        <v>1370</v>
      </c>
      <c r="D251" t="s">
        <v>114</v>
      </c>
      <c r="E251" t="s">
        <v>92</v>
      </c>
      <c r="F251" t="str">
        <f>INDEX($I$3:$I$18,MATCH(jobcat19[[#This Row],[Pricing category ]],$H$3:$H$18,0),1)</f>
        <v xml:space="preserve">Professional Services </v>
      </c>
    </row>
    <row r="252" spans="1:6" hidden="1" x14ac:dyDescent="0.2">
      <c r="A252">
        <v>492</v>
      </c>
      <c r="B252" t="s">
        <v>1371</v>
      </c>
      <c r="C252" t="s">
        <v>1372</v>
      </c>
      <c r="D252" t="s">
        <v>386</v>
      </c>
      <c r="E252" t="s">
        <v>956</v>
      </c>
      <c r="F252" t="str">
        <f>INDEX($I$3:$I$18,MATCH(jobcat19[[#This Row],[Pricing category ]],$H$3:$H$18,0),1)</f>
        <v xml:space="preserve">Professional Services </v>
      </c>
    </row>
    <row r="253" spans="1:6" hidden="1" x14ac:dyDescent="0.2">
      <c r="A253">
        <v>493</v>
      </c>
      <c r="B253" t="s">
        <v>1373</v>
      </c>
      <c r="C253" t="s">
        <v>1374</v>
      </c>
      <c r="D253" t="s">
        <v>1375</v>
      </c>
      <c r="E253" t="s">
        <v>92</v>
      </c>
      <c r="F253" t="str">
        <f>INDEX($I$3:$I$18,MATCH(jobcat19[[#This Row],[Pricing category ]],$H$3:$H$18,0),1)</f>
        <v xml:space="preserve">Professional Services </v>
      </c>
    </row>
    <row r="254" spans="1:6" hidden="1" x14ac:dyDescent="0.2">
      <c r="A254">
        <v>494</v>
      </c>
      <c r="B254" t="s">
        <v>1376</v>
      </c>
      <c r="C254" t="s">
        <v>1377</v>
      </c>
      <c r="D254" t="s">
        <v>1019</v>
      </c>
      <c r="E254" t="s">
        <v>92</v>
      </c>
      <c r="F254" t="str">
        <f>INDEX($I$3:$I$18,MATCH(jobcat19[[#This Row],[Pricing category ]],$H$3:$H$18,0),1)</f>
        <v xml:space="preserve">Professional Services </v>
      </c>
    </row>
    <row r="255" spans="1:6" hidden="1" x14ac:dyDescent="0.2">
      <c r="A255">
        <v>495</v>
      </c>
      <c r="B255" t="s">
        <v>1095</v>
      </c>
      <c r="C255" t="s">
        <v>1378</v>
      </c>
      <c r="D255" t="s">
        <v>114</v>
      </c>
      <c r="E255" t="s">
        <v>92</v>
      </c>
      <c r="F255" t="str">
        <f>INDEX($I$3:$I$18,MATCH(jobcat19[[#This Row],[Pricing category ]],$H$3:$H$18,0),1)</f>
        <v xml:space="preserve">Professional Services </v>
      </c>
    </row>
    <row r="256" spans="1:6" x14ac:dyDescent="0.2">
      <c r="A256">
        <v>496</v>
      </c>
      <c r="B256" t="s">
        <v>1379</v>
      </c>
      <c r="C256" t="s">
        <v>1380</v>
      </c>
      <c r="D256" t="s">
        <v>206</v>
      </c>
      <c r="E256" s="191" t="s">
        <v>953</v>
      </c>
      <c r="F256" t="str">
        <f>INDEX($I$3:$I$18,MATCH(jobcat19[[#This Row],[Pricing category ]],$H$3:$H$18,0),1)</f>
        <v>Technical Services</v>
      </c>
    </row>
    <row r="257" spans="1:6" x14ac:dyDescent="0.2">
      <c r="A257">
        <v>497</v>
      </c>
      <c r="B257" t="s">
        <v>1381</v>
      </c>
      <c r="C257" t="s">
        <v>452</v>
      </c>
      <c r="D257" t="s">
        <v>237</v>
      </c>
      <c r="E257" s="191" t="s">
        <v>953</v>
      </c>
      <c r="F257" t="str">
        <f>INDEX($I$3:$I$18,MATCH(jobcat19[[#This Row],[Pricing category ]],$H$3:$H$18,0),1)</f>
        <v>Technical Services</v>
      </c>
    </row>
    <row r="258" spans="1:6" hidden="1" x14ac:dyDescent="0.2">
      <c r="A258">
        <v>498</v>
      </c>
      <c r="B258" t="s">
        <v>1382</v>
      </c>
      <c r="C258" t="s">
        <v>1383</v>
      </c>
      <c r="D258" t="s">
        <v>1384</v>
      </c>
      <c r="E258" s="191" t="s">
        <v>347</v>
      </c>
      <c r="F258" t="str">
        <f>INDEX($I$3:$I$18,MATCH(jobcat19[[#This Row],[Pricing category ]],$H$3:$H$18,0),1)</f>
        <v xml:space="preserve">Professional Services </v>
      </c>
    </row>
    <row r="259" spans="1:6" hidden="1" x14ac:dyDescent="0.2">
      <c r="A259">
        <v>499</v>
      </c>
      <c r="B259" t="s">
        <v>1385</v>
      </c>
      <c r="C259" t="s">
        <v>1386</v>
      </c>
      <c r="D259" t="s">
        <v>114</v>
      </c>
      <c r="E259" t="s">
        <v>92</v>
      </c>
      <c r="F259" t="str">
        <f>INDEX($I$3:$I$18,MATCH(jobcat19[[#This Row],[Pricing category ]],$H$3:$H$18,0),1)</f>
        <v xml:space="preserve">Professional Services </v>
      </c>
    </row>
    <row r="260" spans="1:6" hidden="1" x14ac:dyDescent="0.2">
      <c r="A260">
        <v>500</v>
      </c>
      <c r="B260" t="s">
        <v>976</v>
      </c>
      <c r="C260" t="s">
        <v>454</v>
      </c>
      <c r="D260" t="s">
        <v>1196</v>
      </c>
      <c r="E260" t="s">
        <v>969</v>
      </c>
      <c r="F260" t="str">
        <f>INDEX($I$3:$I$18,MATCH(jobcat19[[#This Row],[Pricing category ]],$H$3:$H$18,0),1)</f>
        <v xml:space="preserve">Professional Services </v>
      </c>
    </row>
    <row r="261" spans="1:6" hidden="1" x14ac:dyDescent="0.2">
      <c r="A261">
        <v>501</v>
      </c>
      <c r="B261" t="s">
        <v>1387</v>
      </c>
      <c r="C261" t="s">
        <v>259</v>
      </c>
      <c r="D261" t="s">
        <v>1388</v>
      </c>
      <c r="E261" t="s">
        <v>92</v>
      </c>
      <c r="F261" t="str">
        <f>INDEX($I$3:$I$18,MATCH(jobcat19[[#This Row],[Pricing category ]],$H$3:$H$18,0),1)</f>
        <v xml:space="preserve">Professional Services </v>
      </c>
    </row>
    <row r="262" spans="1:6" hidden="1" x14ac:dyDescent="0.2">
      <c r="A262">
        <v>505</v>
      </c>
      <c r="B262" t="s">
        <v>1389</v>
      </c>
      <c r="C262" t="s">
        <v>1390</v>
      </c>
      <c r="D262" t="s">
        <v>1391</v>
      </c>
      <c r="E262" t="s">
        <v>92</v>
      </c>
      <c r="F262" t="str">
        <f>INDEX($I$3:$I$18,MATCH(jobcat19[[#This Row],[Pricing category ]],$H$3:$H$18,0),1)</f>
        <v xml:space="preserve">Professional Services </v>
      </c>
    </row>
    <row r="263" spans="1:6" hidden="1" x14ac:dyDescent="0.2">
      <c r="A263">
        <v>506</v>
      </c>
      <c r="B263" t="s">
        <v>1392</v>
      </c>
      <c r="C263" t="s">
        <v>1125</v>
      </c>
      <c r="D263" t="s">
        <v>1393</v>
      </c>
      <c r="E263" t="s">
        <v>92</v>
      </c>
      <c r="F263" t="str">
        <f>INDEX($I$3:$I$18,MATCH(jobcat19[[#This Row],[Pricing category ]],$H$3:$H$18,0),1)</f>
        <v xml:space="preserve">Professional Services </v>
      </c>
    </row>
    <row r="264" spans="1:6" hidden="1" x14ac:dyDescent="0.2">
      <c r="A264">
        <v>507</v>
      </c>
      <c r="B264" t="s">
        <v>986</v>
      </c>
      <c r="C264" t="s">
        <v>1394</v>
      </c>
      <c r="D264" t="s">
        <v>1395</v>
      </c>
      <c r="E264" t="s">
        <v>92</v>
      </c>
      <c r="F264" t="str">
        <f>INDEX($I$3:$I$18,MATCH(jobcat19[[#This Row],[Pricing category ]],$H$3:$H$18,0),1)</f>
        <v xml:space="preserve">Professional Services </v>
      </c>
    </row>
    <row r="265" spans="1:6" x14ac:dyDescent="0.2">
      <c r="A265">
        <v>508</v>
      </c>
      <c r="B265" t="s">
        <v>1396</v>
      </c>
      <c r="C265" t="s">
        <v>1397</v>
      </c>
      <c r="D265" t="s">
        <v>1398</v>
      </c>
      <c r="E265" t="s">
        <v>372</v>
      </c>
      <c r="F265" t="str">
        <f>INDEX($I$3:$I$18,MATCH(jobcat19[[#This Row],[Pricing category ]],$H$3:$H$18,0),1)</f>
        <v>Technical Services</v>
      </c>
    </row>
    <row r="266" spans="1:6" hidden="1" x14ac:dyDescent="0.2">
      <c r="A266">
        <v>509</v>
      </c>
      <c r="B266" t="s">
        <v>1399</v>
      </c>
      <c r="C266" t="s">
        <v>460</v>
      </c>
      <c r="D266" t="s">
        <v>1400</v>
      </c>
      <c r="E266" t="s">
        <v>347</v>
      </c>
      <c r="F266" t="str">
        <f>INDEX($I$3:$I$18,MATCH(jobcat19[[#This Row],[Pricing category ]],$H$3:$H$18,0),1)</f>
        <v xml:space="preserve">Professional Services </v>
      </c>
    </row>
    <row r="267" spans="1:6" hidden="1" x14ac:dyDescent="0.2">
      <c r="A267">
        <v>510</v>
      </c>
      <c r="B267" t="s">
        <v>1401</v>
      </c>
      <c r="C267" t="s">
        <v>1402</v>
      </c>
      <c r="D267" t="s">
        <v>274</v>
      </c>
      <c r="E267" t="s">
        <v>92</v>
      </c>
      <c r="F267" t="str">
        <f>INDEX($I$3:$I$18,MATCH(jobcat19[[#This Row],[Pricing category ]],$H$3:$H$18,0),1)</f>
        <v xml:space="preserve">Professional Services </v>
      </c>
    </row>
    <row r="268" spans="1:6" hidden="1" x14ac:dyDescent="0.2">
      <c r="A268">
        <v>511</v>
      </c>
      <c r="B268" t="s">
        <v>1333</v>
      </c>
      <c r="C268" t="s">
        <v>705</v>
      </c>
      <c r="D268" t="s">
        <v>114</v>
      </c>
      <c r="E268" t="s">
        <v>92</v>
      </c>
      <c r="F268" t="str">
        <f>INDEX($I$3:$I$18,MATCH(jobcat19[[#This Row],[Pricing category ]],$H$3:$H$18,0),1)</f>
        <v xml:space="preserve">Professional Services </v>
      </c>
    </row>
    <row r="269" spans="1:6" hidden="1" x14ac:dyDescent="0.2">
      <c r="A269">
        <v>512</v>
      </c>
      <c r="B269" t="s">
        <v>1403</v>
      </c>
      <c r="C269" t="s">
        <v>1404</v>
      </c>
      <c r="D269" t="s">
        <v>114</v>
      </c>
      <c r="E269" t="s">
        <v>92</v>
      </c>
      <c r="F269" t="str">
        <f>INDEX($I$3:$I$18,MATCH(jobcat19[[#This Row],[Pricing category ]],$H$3:$H$18,0),1)</f>
        <v xml:space="preserve">Professional Services </v>
      </c>
    </row>
    <row r="270" spans="1:6" hidden="1" x14ac:dyDescent="0.2">
      <c r="A270">
        <v>513</v>
      </c>
      <c r="B270" t="s">
        <v>1359</v>
      </c>
      <c r="C270" t="s">
        <v>463</v>
      </c>
      <c r="D270" t="s">
        <v>769</v>
      </c>
      <c r="E270" t="s">
        <v>956</v>
      </c>
      <c r="F270" t="str">
        <f>INDEX($I$3:$I$18,MATCH(jobcat19[[#This Row],[Pricing category ]],$H$3:$H$18,0),1)</f>
        <v xml:space="preserve">Professional Services </v>
      </c>
    </row>
    <row r="271" spans="1:6" x14ac:dyDescent="0.2">
      <c r="A271">
        <v>514</v>
      </c>
      <c r="B271" t="s">
        <v>970</v>
      </c>
      <c r="C271" t="s">
        <v>1405</v>
      </c>
      <c r="D271" t="s">
        <v>1246</v>
      </c>
      <c r="E271" t="s">
        <v>372</v>
      </c>
      <c r="F271" t="str">
        <f>INDEX($I$3:$I$18,MATCH(jobcat19[[#This Row],[Pricing category ]],$H$3:$H$18,0),1)</f>
        <v>Technical Services</v>
      </c>
    </row>
    <row r="272" spans="1:6" x14ac:dyDescent="0.2">
      <c r="A272">
        <v>515</v>
      </c>
      <c r="B272" t="s">
        <v>1406</v>
      </c>
      <c r="C272" t="s">
        <v>470</v>
      </c>
      <c r="D272" t="s">
        <v>471</v>
      </c>
      <c r="E272" t="s">
        <v>372</v>
      </c>
      <c r="F272" t="str">
        <f>INDEX($I$3:$I$18,MATCH(jobcat19[[#This Row],[Pricing category ]],$H$3:$H$18,0),1)</f>
        <v>Technical Services</v>
      </c>
    </row>
    <row r="273" spans="1:6" hidden="1" x14ac:dyDescent="0.2">
      <c r="A273">
        <v>516</v>
      </c>
      <c r="B273" t="s">
        <v>1407</v>
      </c>
      <c r="C273" t="s">
        <v>475</v>
      </c>
      <c r="D273" t="s">
        <v>476</v>
      </c>
      <c r="E273" t="s">
        <v>960</v>
      </c>
      <c r="F273" t="str">
        <f>INDEX($I$3:$I$18,MATCH(jobcat19[[#This Row],[Pricing category ]],$H$3:$H$18,0),1)</f>
        <v xml:space="preserve">Professional Services </v>
      </c>
    </row>
    <row r="274" spans="1:6" hidden="1" x14ac:dyDescent="0.2">
      <c r="A274">
        <v>517</v>
      </c>
      <c r="B274" t="s">
        <v>1408</v>
      </c>
      <c r="C274" t="s">
        <v>799</v>
      </c>
      <c r="D274" t="s">
        <v>1409</v>
      </c>
      <c r="E274" t="s">
        <v>92</v>
      </c>
      <c r="F274" t="str">
        <f>INDEX($I$3:$I$18,MATCH(jobcat19[[#This Row],[Pricing category ]],$H$3:$H$18,0),1)</f>
        <v xml:space="preserve">Professional Services </v>
      </c>
    </row>
    <row r="275" spans="1:6" x14ac:dyDescent="0.2">
      <c r="A275">
        <v>518</v>
      </c>
      <c r="B275" t="s">
        <v>472</v>
      </c>
      <c r="C275" t="s">
        <v>473</v>
      </c>
      <c r="D275" t="s">
        <v>274</v>
      </c>
      <c r="E275" t="s">
        <v>277</v>
      </c>
      <c r="F275" t="str">
        <f>INDEX($I$3:$I$18,MATCH(jobcat19[[#This Row],[Pricing category ]],$H$3:$H$18,0),1)</f>
        <v>Technical Services</v>
      </c>
    </row>
    <row r="276" spans="1:6" x14ac:dyDescent="0.2">
      <c r="A276">
        <v>519</v>
      </c>
      <c r="B276" t="s">
        <v>1410</v>
      </c>
      <c r="C276" t="s">
        <v>1411</v>
      </c>
      <c r="D276" t="s">
        <v>318</v>
      </c>
      <c r="E276" t="s">
        <v>953</v>
      </c>
      <c r="F276" t="str">
        <f>INDEX($I$3:$I$18,MATCH(jobcat19[[#This Row],[Pricing category ]],$H$3:$H$18,0),1)</f>
        <v>Technical Services</v>
      </c>
    </row>
    <row r="277" spans="1:6" hidden="1" x14ac:dyDescent="0.2">
      <c r="A277">
        <v>520</v>
      </c>
      <c r="B277" t="s">
        <v>1412</v>
      </c>
      <c r="C277" t="s">
        <v>1413</v>
      </c>
      <c r="D277" t="s">
        <v>1162</v>
      </c>
      <c r="E277" t="s">
        <v>92</v>
      </c>
      <c r="F277" t="str">
        <f>INDEX($I$3:$I$18,MATCH(jobcat19[[#This Row],[Pricing category ]],$H$3:$H$18,0),1)</f>
        <v xml:space="preserve">Professional Services </v>
      </c>
    </row>
    <row r="278" spans="1:6" hidden="1" x14ac:dyDescent="0.2">
      <c r="A278">
        <v>521</v>
      </c>
      <c r="B278" t="s">
        <v>1414</v>
      </c>
      <c r="C278" t="s">
        <v>1415</v>
      </c>
      <c r="D278" t="s">
        <v>1416</v>
      </c>
      <c r="E278" s="191" t="s">
        <v>956</v>
      </c>
      <c r="F278" t="str">
        <f>INDEX($I$3:$I$18,MATCH(jobcat19[[#This Row],[Pricing category ]],$H$3:$H$18,0),1)</f>
        <v xml:space="preserve">Professional Services </v>
      </c>
    </row>
    <row r="279" spans="1:6" hidden="1" x14ac:dyDescent="0.2">
      <c r="A279">
        <v>522</v>
      </c>
      <c r="B279" t="s">
        <v>1417</v>
      </c>
      <c r="C279" t="s">
        <v>654</v>
      </c>
      <c r="D279" t="s">
        <v>1033</v>
      </c>
      <c r="E279" t="s">
        <v>956</v>
      </c>
      <c r="F279" t="str">
        <f>INDEX($I$3:$I$18,MATCH(jobcat19[[#This Row],[Pricing category ]],$H$3:$H$18,0),1)</f>
        <v xml:space="preserve">Professional Services </v>
      </c>
    </row>
    <row r="280" spans="1:6" x14ac:dyDescent="0.2">
      <c r="A280">
        <v>523</v>
      </c>
      <c r="B280" t="s">
        <v>1069</v>
      </c>
      <c r="C280" t="s">
        <v>230</v>
      </c>
      <c r="D280" t="s">
        <v>1418</v>
      </c>
      <c r="E280" t="s">
        <v>948</v>
      </c>
      <c r="F280" t="str">
        <f>INDEX($I$3:$I$18,MATCH(jobcat19[[#This Row],[Pricing category ]],$H$3:$H$18,0),1)</f>
        <v>Technical Services</v>
      </c>
    </row>
    <row r="281" spans="1:6" hidden="1" x14ac:dyDescent="0.2">
      <c r="A281">
        <v>524</v>
      </c>
      <c r="B281" t="s">
        <v>1419</v>
      </c>
      <c r="C281" t="s">
        <v>1420</v>
      </c>
      <c r="D281" t="s">
        <v>1421</v>
      </c>
      <c r="E281" s="191" t="s">
        <v>92</v>
      </c>
      <c r="F281" t="str">
        <f>INDEX($I$3:$I$18,MATCH(jobcat19[[#This Row],[Pricing category ]],$H$3:$H$18,0),1)</f>
        <v xml:space="preserve">Professional Services </v>
      </c>
    </row>
    <row r="282" spans="1:6" hidden="1" x14ac:dyDescent="0.2">
      <c r="A282">
        <v>525</v>
      </c>
      <c r="B282" t="s">
        <v>1422</v>
      </c>
      <c r="C282" t="s">
        <v>1183</v>
      </c>
      <c r="D282" t="s">
        <v>1152</v>
      </c>
      <c r="E282" t="s">
        <v>956</v>
      </c>
      <c r="F282" t="str">
        <f>INDEX($I$3:$I$18,MATCH(jobcat19[[#This Row],[Pricing category ]],$H$3:$H$18,0),1)</f>
        <v xml:space="preserve">Professional Services </v>
      </c>
    </row>
    <row r="283" spans="1:6" hidden="1" x14ac:dyDescent="0.2">
      <c r="A283">
        <v>526</v>
      </c>
      <c r="B283" t="s">
        <v>1423</v>
      </c>
      <c r="C283" t="s">
        <v>479</v>
      </c>
      <c r="D283" t="s">
        <v>480</v>
      </c>
      <c r="E283" t="s">
        <v>973</v>
      </c>
      <c r="F283" t="str">
        <f>INDEX($I$3:$I$18,MATCH(jobcat19[[#This Row],[Pricing category ]],$H$3:$H$18,0),1)</f>
        <v xml:space="preserve">Professional Services </v>
      </c>
    </row>
    <row r="284" spans="1:6" x14ac:dyDescent="0.2">
      <c r="A284">
        <v>527</v>
      </c>
      <c r="B284" t="s">
        <v>1424</v>
      </c>
      <c r="C284" t="s">
        <v>1425</v>
      </c>
      <c r="D284" t="s">
        <v>1426</v>
      </c>
      <c r="E284" s="191" t="s">
        <v>953</v>
      </c>
      <c r="F284" t="str">
        <f>INDEX($I$3:$I$18,MATCH(jobcat19[[#This Row],[Pricing category ]],$H$3:$H$18,0),1)</f>
        <v>Technical Services</v>
      </c>
    </row>
    <row r="285" spans="1:6" hidden="1" x14ac:dyDescent="0.2">
      <c r="A285">
        <v>528</v>
      </c>
      <c r="B285" t="s">
        <v>1427</v>
      </c>
      <c r="C285" t="s">
        <v>1428</v>
      </c>
      <c r="D285" t="s">
        <v>1152</v>
      </c>
      <c r="E285" t="s">
        <v>956</v>
      </c>
      <c r="F285" t="str">
        <f>INDEX($I$3:$I$18,MATCH(jobcat19[[#This Row],[Pricing category ]],$H$3:$H$18,0),1)</f>
        <v xml:space="preserve">Professional Services </v>
      </c>
    </row>
    <row r="286" spans="1:6" hidden="1" x14ac:dyDescent="0.2">
      <c r="A286">
        <v>529</v>
      </c>
      <c r="B286" t="s">
        <v>1429</v>
      </c>
      <c r="C286" t="s">
        <v>1430</v>
      </c>
      <c r="D286" t="s">
        <v>1431</v>
      </c>
      <c r="E286" s="191" t="s">
        <v>92</v>
      </c>
      <c r="F286" t="str">
        <f>INDEX($I$3:$I$18,MATCH(jobcat19[[#This Row],[Pricing category ]],$H$3:$H$18,0),1)</f>
        <v xml:space="preserve">Professional Services </v>
      </c>
    </row>
    <row r="287" spans="1:6" hidden="1" x14ac:dyDescent="0.2">
      <c r="A287">
        <v>530</v>
      </c>
      <c r="B287" t="s">
        <v>1131</v>
      </c>
      <c r="C287" t="s">
        <v>1432</v>
      </c>
      <c r="D287" t="s">
        <v>1433</v>
      </c>
      <c r="E287" t="s">
        <v>347</v>
      </c>
      <c r="F287" t="str">
        <f>INDEX($I$3:$I$18,MATCH(jobcat19[[#This Row],[Pricing category ]],$H$3:$H$18,0),1)</f>
        <v xml:space="preserve">Professional Services </v>
      </c>
    </row>
    <row r="288" spans="1:6" hidden="1" x14ac:dyDescent="0.2">
      <c r="A288">
        <v>531</v>
      </c>
      <c r="B288" t="s">
        <v>1434</v>
      </c>
      <c r="C288" t="s">
        <v>1435</v>
      </c>
      <c r="D288" t="s">
        <v>1436</v>
      </c>
      <c r="E288" t="s">
        <v>92</v>
      </c>
      <c r="F288" t="str">
        <f>INDEX($I$3:$I$18,MATCH(jobcat19[[#This Row],[Pricing category ]],$H$3:$H$18,0),1)</f>
        <v xml:space="preserve">Professional Services </v>
      </c>
    </row>
    <row r="289" spans="1:6" x14ac:dyDescent="0.2">
      <c r="A289">
        <v>532</v>
      </c>
      <c r="B289" t="s">
        <v>1437</v>
      </c>
      <c r="C289" t="s">
        <v>307</v>
      </c>
      <c r="D289" t="s">
        <v>1438</v>
      </c>
      <c r="E289" t="s">
        <v>953</v>
      </c>
      <c r="F289" t="str">
        <f>INDEX($I$3:$I$18,MATCH(jobcat19[[#This Row],[Pricing category ]],$H$3:$H$18,0),1)</f>
        <v>Technical Services</v>
      </c>
    </row>
    <row r="290" spans="1:6" hidden="1" x14ac:dyDescent="0.2">
      <c r="A290">
        <v>533</v>
      </c>
      <c r="B290" t="s">
        <v>1439</v>
      </c>
      <c r="C290" t="s">
        <v>1440</v>
      </c>
      <c r="D290" t="s">
        <v>114</v>
      </c>
      <c r="E290" t="s">
        <v>92</v>
      </c>
      <c r="F290" t="str">
        <f>INDEX($I$3:$I$18,MATCH(jobcat19[[#This Row],[Pricing category ]],$H$3:$H$18,0),1)</f>
        <v xml:space="preserve">Professional Services </v>
      </c>
    </row>
    <row r="291" spans="1:6" x14ac:dyDescent="0.2">
      <c r="A291">
        <v>534</v>
      </c>
      <c r="B291" t="s">
        <v>1441</v>
      </c>
      <c r="C291" t="s">
        <v>484</v>
      </c>
      <c r="D291" t="s">
        <v>814</v>
      </c>
      <c r="E291" t="s">
        <v>948</v>
      </c>
      <c r="F291" t="str">
        <f>INDEX($I$3:$I$18,MATCH(jobcat19[[#This Row],[Pricing category ]],$H$3:$H$18,0),1)</f>
        <v>Technical Services</v>
      </c>
    </row>
    <row r="292" spans="1:6" hidden="1" x14ac:dyDescent="0.2">
      <c r="A292">
        <v>535</v>
      </c>
      <c r="B292" t="s">
        <v>1442</v>
      </c>
      <c r="C292" t="s">
        <v>225</v>
      </c>
      <c r="D292" t="s">
        <v>486</v>
      </c>
      <c r="E292" s="191" t="s">
        <v>92</v>
      </c>
      <c r="F292" t="str">
        <f>INDEX($I$3:$I$18,MATCH(jobcat19[[#This Row],[Pricing category ]],$H$3:$H$18,0),1)</f>
        <v xml:space="preserve">Professional Services </v>
      </c>
    </row>
    <row r="293" spans="1:6" x14ac:dyDescent="0.2">
      <c r="A293">
        <v>536</v>
      </c>
      <c r="B293" t="s">
        <v>1131</v>
      </c>
      <c r="C293" t="s">
        <v>1443</v>
      </c>
      <c r="D293" t="s">
        <v>1444</v>
      </c>
      <c r="E293" t="s">
        <v>372</v>
      </c>
      <c r="F293" t="str">
        <f>INDEX($I$3:$I$18,MATCH(jobcat19[[#This Row],[Pricing category ]],$H$3:$H$18,0),1)</f>
        <v>Technical Services</v>
      </c>
    </row>
    <row r="294" spans="1:6" hidden="1" x14ac:dyDescent="0.2">
      <c r="A294">
        <v>537</v>
      </c>
      <c r="B294" t="s">
        <v>1445</v>
      </c>
      <c r="C294" t="s">
        <v>1446</v>
      </c>
      <c r="D294" t="s">
        <v>1447</v>
      </c>
      <c r="E294" t="s">
        <v>92</v>
      </c>
      <c r="F294" t="str">
        <f>INDEX($I$3:$I$18,MATCH(jobcat19[[#This Row],[Pricing category ]],$H$3:$H$18,0),1)</f>
        <v xml:space="preserve">Professional Services </v>
      </c>
    </row>
    <row r="295" spans="1:6" hidden="1" x14ac:dyDescent="0.2">
      <c r="A295">
        <v>538</v>
      </c>
      <c r="B295" t="s">
        <v>1448</v>
      </c>
      <c r="C295" t="s">
        <v>1449</v>
      </c>
      <c r="D295" t="s">
        <v>1450</v>
      </c>
      <c r="E295" s="191" t="s">
        <v>92</v>
      </c>
      <c r="F295" t="str">
        <f>INDEX($I$3:$I$18,MATCH(jobcat19[[#This Row],[Pricing category ]],$H$3:$H$18,0),1)</f>
        <v xml:space="preserve">Professional Services </v>
      </c>
    </row>
    <row r="296" spans="1:6" x14ac:dyDescent="0.2">
      <c r="A296">
        <v>539</v>
      </c>
      <c r="B296" t="s">
        <v>1451</v>
      </c>
      <c r="C296" t="s">
        <v>1452</v>
      </c>
      <c r="D296" t="s">
        <v>169</v>
      </c>
      <c r="E296" s="191" t="s">
        <v>372</v>
      </c>
      <c r="F296" t="str">
        <f>INDEX($I$3:$I$18,MATCH(jobcat19[[#This Row],[Pricing category ]],$H$3:$H$18,0),1)</f>
        <v>Technical Services</v>
      </c>
    </row>
    <row r="297" spans="1:6" x14ac:dyDescent="0.2">
      <c r="A297">
        <v>540</v>
      </c>
      <c r="B297" t="s">
        <v>1453</v>
      </c>
      <c r="C297" t="s">
        <v>259</v>
      </c>
      <c r="D297" t="s">
        <v>318</v>
      </c>
      <c r="E297" t="s">
        <v>953</v>
      </c>
      <c r="F297" t="str">
        <f>INDEX($I$3:$I$18,MATCH(jobcat19[[#This Row],[Pricing category ]],$H$3:$H$18,0),1)</f>
        <v>Technical Services</v>
      </c>
    </row>
    <row r="298" spans="1:6" x14ac:dyDescent="0.2">
      <c r="A298">
        <v>541</v>
      </c>
      <c r="B298" t="s">
        <v>1454</v>
      </c>
      <c r="C298" t="s">
        <v>1455</v>
      </c>
      <c r="D298" t="s">
        <v>318</v>
      </c>
      <c r="E298" s="191" t="s">
        <v>953</v>
      </c>
      <c r="F298" t="str">
        <f>INDEX($I$3:$I$18,MATCH(jobcat19[[#This Row],[Pricing category ]],$H$3:$H$18,0),1)</f>
        <v>Technical Services</v>
      </c>
    </row>
    <row r="299" spans="1:6" x14ac:dyDescent="0.2">
      <c r="A299">
        <v>542</v>
      </c>
      <c r="B299" t="s">
        <v>768</v>
      </c>
      <c r="C299" t="s">
        <v>492</v>
      </c>
      <c r="D299" t="s">
        <v>1456</v>
      </c>
      <c r="E299" s="191" t="s">
        <v>372</v>
      </c>
      <c r="F299" t="str">
        <f>INDEX($I$3:$I$18,MATCH(jobcat19[[#This Row],[Pricing category ]],$H$3:$H$18,0),1)</f>
        <v>Technical Services</v>
      </c>
    </row>
    <row r="300" spans="1:6" hidden="1" x14ac:dyDescent="0.2">
      <c r="A300">
        <v>543</v>
      </c>
      <c r="B300" t="s">
        <v>1457</v>
      </c>
      <c r="C300" t="s">
        <v>488</v>
      </c>
      <c r="D300" t="s">
        <v>489</v>
      </c>
      <c r="E300" s="191" t="s">
        <v>347</v>
      </c>
      <c r="F300" t="str">
        <f>INDEX($I$3:$I$18,MATCH(jobcat19[[#This Row],[Pricing category ]],$H$3:$H$18,0),1)</f>
        <v xml:space="preserve">Professional Services </v>
      </c>
    </row>
    <row r="301" spans="1:6" x14ac:dyDescent="0.2">
      <c r="A301">
        <v>544</v>
      </c>
      <c r="B301" t="s">
        <v>1341</v>
      </c>
      <c r="C301" t="s">
        <v>1458</v>
      </c>
      <c r="D301" t="s">
        <v>372</v>
      </c>
      <c r="E301" t="s">
        <v>372</v>
      </c>
      <c r="F301" t="str">
        <f>INDEX($I$3:$I$18,MATCH(jobcat19[[#This Row],[Pricing category ]],$H$3:$H$18,0),1)</f>
        <v>Technical Services</v>
      </c>
    </row>
    <row r="302" spans="1:6" hidden="1" x14ac:dyDescent="0.2">
      <c r="A302">
        <v>545</v>
      </c>
      <c r="B302" t="s">
        <v>1459</v>
      </c>
      <c r="C302" t="s">
        <v>494</v>
      </c>
      <c r="D302" t="s">
        <v>173</v>
      </c>
      <c r="E302" s="191" t="s">
        <v>347</v>
      </c>
      <c r="F302" t="str">
        <f>INDEX($I$3:$I$18,MATCH(jobcat19[[#This Row],[Pricing category ]],$H$3:$H$18,0),1)</f>
        <v xml:space="preserve">Professional Services </v>
      </c>
    </row>
    <row r="303" spans="1:6" hidden="1" x14ac:dyDescent="0.2">
      <c r="A303">
        <v>546</v>
      </c>
      <c r="B303" t="s">
        <v>876</v>
      </c>
      <c r="C303" t="s">
        <v>499</v>
      </c>
      <c r="D303" t="s">
        <v>386</v>
      </c>
      <c r="E303" s="191" t="s">
        <v>464</v>
      </c>
      <c r="F303" t="str">
        <f>INDEX($I$3:$I$18,MATCH(jobcat19[[#This Row],[Pricing category ]],$H$3:$H$18,0),1)</f>
        <v xml:space="preserve">Professional Services </v>
      </c>
    </row>
    <row r="304" spans="1:6" hidden="1" x14ac:dyDescent="0.2">
      <c r="A304">
        <v>547</v>
      </c>
      <c r="B304" t="s">
        <v>1460</v>
      </c>
      <c r="C304" t="s">
        <v>1461</v>
      </c>
      <c r="D304" t="s">
        <v>386</v>
      </c>
      <c r="E304" s="191" t="s">
        <v>956</v>
      </c>
      <c r="F304" t="str">
        <f>INDEX($I$3:$I$18,MATCH(jobcat19[[#This Row],[Pricing category ]],$H$3:$H$18,0),1)</f>
        <v xml:space="preserve">Professional Services </v>
      </c>
    </row>
    <row r="305" spans="1:6" hidden="1" x14ac:dyDescent="0.2">
      <c r="A305">
        <v>548</v>
      </c>
      <c r="B305" t="s">
        <v>1462</v>
      </c>
      <c r="C305" t="s">
        <v>449</v>
      </c>
      <c r="D305" t="s">
        <v>173</v>
      </c>
      <c r="E305" s="191" t="s">
        <v>347</v>
      </c>
      <c r="F305" t="str">
        <f>INDEX($I$3:$I$18,MATCH(jobcat19[[#This Row],[Pricing category ]],$H$3:$H$18,0),1)</f>
        <v xml:space="preserve">Professional Services </v>
      </c>
    </row>
    <row r="306" spans="1:6" hidden="1" x14ac:dyDescent="0.2">
      <c r="A306">
        <v>549</v>
      </c>
      <c r="B306" t="s">
        <v>1463</v>
      </c>
      <c r="C306" t="s">
        <v>504</v>
      </c>
      <c r="D306" t="s">
        <v>1464</v>
      </c>
      <c r="E306" t="s">
        <v>347</v>
      </c>
      <c r="F306" t="str">
        <f>INDEX($I$3:$I$18,MATCH(jobcat19[[#This Row],[Pricing category ]],$H$3:$H$18,0),1)</f>
        <v xml:space="preserve">Professional Services </v>
      </c>
    </row>
    <row r="307" spans="1:6" hidden="1" x14ac:dyDescent="0.2">
      <c r="A307">
        <v>550</v>
      </c>
      <c r="B307" t="s">
        <v>1465</v>
      </c>
      <c r="C307" t="s">
        <v>507</v>
      </c>
      <c r="D307" t="s">
        <v>508</v>
      </c>
      <c r="E307" t="s">
        <v>118</v>
      </c>
      <c r="F307" t="str">
        <f>INDEX($I$3:$I$18,MATCH(jobcat19[[#This Row],[Pricing category ]],$H$3:$H$18,0),1)</f>
        <v xml:space="preserve">Professional Services </v>
      </c>
    </row>
    <row r="308" spans="1:6" x14ac:dyDescent="0.2">
      <c r="A308">
        <v>551</v>
      </c>
      <c r="B308" t="s">
        <v>1466</v>
      </c>
      <c r="C308" t="s">
        <v>1467</v>
      </c>
      <c r="D308" t="s">
        <v>318</v>
      </c>
      <c r="E308" t="s">
        <v>953</v>
      </c>
      <c r="F308" t="str">
        <f>INDEX($I$3:$I$18,MATCH(jobcat19[[#This Row],[Pricing category ]],$H$3:$H$18,0),1)</f>
        <v>Technical Services</v>
      </c>
    </row>
    <row r="309" spans="1:6" x14ac:dyDescent="0.2">
      <c r="A309">
        <v>552</v>
      </c>
      <c r="B309" t="s">
        <v>1468</v>
      </c>
      <c r="C309" t="s">
        <v>510</v>
      </c>
      <c r="D309" t="s">
        <v>511</v>
      </c>
      <c r="E309" t="s">
        <v>964</v>
      </c>
      <c r="F309" t="str">
        <f>INDEX($I$3:$I$18,MATCH(jobcat19[[#This Row],[Pricing category ]],$H$3:$H$18,0),1)</f>
        <v>Technical Services</v>
      </c>
    </row>
    <row r="310" spans="1:6" x14ac:dyDescent="0.2">
      <c r="A310">
        <v>553</v>
      </c>
      <c r="B310" t="s">
        <v>1469</v>
      </c>
      <c r="C310" t="s">
        <v>230</v>
      </c>
      <c r="D310" t="s">
        <v>975</v>
      </c>
      <c r="E310" t="s">
        <v>372</v>
      </c>
      <c r="F310" t="str">
        <f>INDEX($I$3:$I$18,MATCH(jobcat19[[#This Row],[Pricing category ]],$H$3:$H$18,0),1)</f>
        <v>Technical Services</v>
      </c>
    </row>
    <row r="311" spans="1:6" x14ac:dyDescent="0.2">
      <c r="A311">
        <v>554</v>
      </c>
      <c r="B311" t="s">
        <v>1470</v>
      </c>
      <c r="C311" t="s">
        <v>1471</v>
      </c>
      <c r="D311" t="s">
        <v>1472</v>
      </c>
      <c r="E311" t="s">
        <v>372</v>
      </c>
      <c r="F311" t="str">
        <f>INDEX($I$3:$I$18,MATCH(jobcat19[[#This Row],[Pricing category ]],$H$3:$H$18,0),1)</f>
        <v>Technical Services</v>
      </c>
    </row>
    <row r="312" spans="1:6" x14ac:dyDescent="0.2">
      <c r="A312">
        <v>555</v>
      </c>
      <c r="B312" t="s">
        <v>996</v>
      </c>
      <c r="C312" t="s">
        <v>1473</v>
      </c>
      <c r="D312" t="s">
        <v>318</v>
      </c>
      <c r="E312" t="s">
        <v>953</v>
      </c>
      <c r="F312" t="str">
        <f>INDEX($I$3:$I$18,MATCH(jobcat19[[#This Row],[Pricing category ]],$H$3:$H$18,0),1)</f>
        <v>Technical Services</v>
      </c>
    </row>
    <row r="313" spans="1:6" x14ac:dyDescent="0.2">
      <c r="A313">
        <v>556</v>
      </c>
      <c r="B313" t="s">
        <v>1474</v>
      </c>
      <c r="C313" t="s">
        <v>526</v>
      </c>
      <c r="D313" t="s">
        <v>432</v>
      </c>
      <c r="E313" t="s">
        <v>372</v>
      </c>
      <c r="F313" t="str">
        <f>INDEX($I$3:$I$18,MATCH(jobcat19[[#This Row],[Pricing category ]],$H$3:$H$18,0),1)</f>
        <v>Technical Services</v>
      </c>
    </row>
    <row r="314" spans="1:6" x14ac:dyDescent="0.2">
      <c r="A314">
        <v>557</v>
      </c>
      <c r="B314" t="s">
        <v>1475</v>
      </c>
      <c r="C314" t="s">
        <v>1224</v>
      </c>
      <c r="D314" t="s">
        <v>1246</v>
      </c>
      <c r="E314" t="s">
        <v>372</v>
      </c>
      <c r="F314" t="str">
        <f>INDEX($I$3:$I$18,MATCH(jobcat19[[#This Row],[Pricing category ]],$H$3:$H$18,0),1)</f>
        <v>Technical Services</v>
      </c>
    </row>
    <row r="315" spans="1:6" x14ac:dyDescent="0.2">
      <c r="A315">
        <v>558</v>
      </c>
      <c r="B315" t="s">
        <v>1476</v>
      </c>
      <c r="C315" t="s">
        <v>1477</v>
      </c>
      <c r="D315" t="s">
        <v>1246</v>
      </c>
      <c r="E315" t="s">
        <v>372</v>
      </c>
      <c r="F315" t="str">
        <f>INDEX($I$3:$I$18,MATCH(jobcat19[[#This Row],[Pricing category ]],$H$3:$H$18,0),1)</f>
        <v>Technical Services</v>
      </c>
    </row>
    <row r="316" spans="1:6" x14ac:dyDescent="0.2">
      <c r="A316">
        <v>559</v>
      </c>
      <c r="B316" t="s">
        <v>1478</v>
      </c>
      <c r="C316" t="s">
        <v>528</v>
      </c>
      <c r="D316" t="s">
        <v>1479</v>
      </c>
      <c r="E316" t="s">
        <v>964</v>
      </c>
      <c r="F316" t="str">
        <f>INDEX($I$3:$I$18,MATCH(jobcat19[[#This Row],[Pricing category ]],$H$3:$H$18,0),1)</f>
        <v>Technical Services</v>
      </c>
    </row>
    <row r="317" spans="1:6" x14ac:dyDescent="0.2">
      <c r="A317">
        <v>560</v>
      </c>
      <c r="B317" t="s">
        <v>1480</v>
      </c>
      <c r="C317" t="s">
        <v>1377</v>
      </c>
      <c r="D317" t="s">
        <v>432</v>
      </c>
      <c r="E317" s="191" t="s">
        <v>372</v>
      </c>
      <c r="F317" t="str">
        <f>INDEX($I$3:$I$18,MATCH(jobcat19[[#This Row],[Pricing category ]],$H$3:$H$18,0),1)</f>
        <v>Technical Services</v>
      </c>
    </row>
    <row r="318" spans="1:6" x14ac:dyDescent="0.2">
      <c r="A318">
        <v>561</v>
      </c>
      <c r="B318" t="s">
        <v>1481</v>
      </c>
      <c r="C318" t="s">
        <v>168</v>
      </c>
      <c r="D318" t="s">
        <v>1246</v>
      </c>
      <c r="E318" t="s">
        <v>372</v>
      </c>
      <c r="F318" t="str">
        <f>INDEX($I$3:$I$18,MATCH(jobcat19[[#This Row],[Pricing category ]],$H$3:$H$18,0),1)</f>
        <v>Technical Services</v>
      </c>
    </row>
    <row r="319" spans="1:6" x14ac:dyDescent="0.2">
      <c r="A319">
        <v>562</v>
      </c>
      <c r="B319" t="s">
        <v>755</v>
      </c>
      <c r="C319" t="s">
        <v>1482</v>
      </c>
      <c r="D319" t="s">
        <v>1246</v>
      </c>
      <c r="E319" t="s">
        <v>372</v>
      </c>
      <c r="F319" t="str">
        <f>INDEX($I$3:$I$18,MATCH(jobcat19[[#This Row],[Pricing category ]],$H$3:$H$18,0),1)</f>
        <v>Technical Services</v>
      </c>
    </row>
    <row r="320" spans="1:6" x14ac:dyDescent="0.2">
      <c r="A320">
        <v>563</v>
      </c>
      <c r="B320" t="s">
        <v>1483</v>
      </c>
      <c r="C320" t="s">
        <v>521</v>
      </c>
      <c r="D320" t="s">
        <v>432</v>
      </c>
      <c r="E320" t="s">
        <v>372</v>
      </c>
      <c r="F320" t="str">
        <f>INDEX($I$3:$I$18,MATCH(jobcat19[[#This Row],[Pricing category ]],$H$3:$H$18,0),1)</f>
        <v>Technical Services</v>
      </c>
    </row>
    <row r="321" spans="1:6" x14ac:dyDescent="0.2">
      <c r="A321">
        <v>564</v>
      </c>
      <c r="B321" t="s">
        <v>1484</v>
      </c>
      <c r="C321" t="s">
        <v>1485</v>
      </c>
      <c r="D321" t="s">
        <v>1269</v>
      </c>
      <c r="E321" t="s">
        <v>953</v>
      </c>
      <c r="F321" t="str">
        <f>INDEX($I$3:$I$18,MATCH(jobcat19[[#This Row],[Pricing category ]],$H$3:$H$18,0),1)</f>
        <v>Technical Services</v>
      </c>
    </row>
    <row r="322" spans="1:6" x14ac:dyDescent="0.2">
      <c r="A322">
        <v>565</v>
      </c>
      <c r="B322" t="s">
        <v>1486</v>
      </c>
      <c r="C322" t="s">
        <v>523</v>
      </c>
      <c r="D322" t="s">
        <v>1140</v>
      </c>
      <c r="E322" t="s">
        <v>953</v>
      </c>
      <c r="F322" t="str">
        <f>INDEX($I$3:$I$18,MATCH(jobcat19[[#This Row],[Pricing category ]],$H$3:$H$18,0),1)</f>
        <v>Technical Services</v>
      </c>
    </row>
    <row r="323" spans="1:6" x14ac:dyDescent="0.2">
      <c r="A323">
        <v>566</v>
      </c>
      <c r="B323" t="s">
        <v>1118</v>
      </c>
      <c r="C323" t="s">
        <v>531</v>
      </c>
      <c r="D323" t="s">
        <v>1140</v>
      </c>
      <c r="E323" t="s">
        <v>953</v>
      </c>
      <c r="F323" t="str">
        <f>INDEX($I$3:$I$18,MATCH(jobcat19[[#This Row],[Pricing category ]],$H$3:$H$18,0),1)</f>
        <v>Technical Services</v>
      </c>
    </row>
    <row r="324" spans="1:6" x14ac:dyDescent="0.2">
      <c r="A324">
        <v>567</v>
      </c>
      <c r="B324" t="s">
        <v>1487</v>
      </c>
      <c r="C324" t="s">
        <v>1488</v>
      </c>
      <c r="D324" t="s">
        <v>1269</v>
      </c>
      <c r="E324" t="s">
        <v>953</v>
      </c>
      <c r="F324" t="str">
        <f>INDEX($I$3:$I$18,MATCH(jobcat19[[#This Row],[Pricing category ]],$H$3:$H$18,0),1)</f>
        <v>Technical Services</v>
      </c>
    </row>
    <row r="325" spans="1:6" x14ac:dyDescent="0.2">
      <c r="A325">
        <v>568</v>
      </c>
      <c r="B325" t="s">
        <v>1489</v>
      </c>
      <c r="C325" t="s">
        <v>533</v>
      </c>
      <c r="D325" t="s">
        <v>1140</v>
      </c>
      <c r="E325" s="191" t="s">
        <v>953</v>
      </c>
      <c r="F325" t="str">
        <f>INDEX($I$3:$I$18,MATCH(jobcat19[[#This Row],[Pricing category ]],$H$3:$H$18,0),1)</f>
        <v>Technical Services</v>
      </c>
    </row>
    <row r="326" spans="1:6" x14ac:dyDescent="0.2">
      <c r="A326">
        <v>569</v>
      </c>
      <c r="B326" t="s">
        <v>1490</v>
      </c>
      <c r="C326" t="s">
        <v>1491</v>
      </c>
      <c r="D326" t="s">
        <v>1492</v>
      </c>
      <c r="E326" t="s">
        <v>964</v>
      </c>
      <c r="F326" t="str">
        <f>INDEX($I$3:$I$18,MATCH(jobcat19[[#This Row],[Pricing category ]],$H$3:$H$18,0),1)</f>
        <v>Technical Services</v>
      </c>
    </row>
    <row r="327" spans="1:6" x14ac:dyDescent="0.2">
      <c r="A327">
        <v>570</v>
      </c>
      <c r="B327" t="s">
        <v>1493</v>
      </c>
      <c r="C327" t="s">
        <v>1494</v>
      </c>
      <c r="D327" t="s">
        <v>1495</v>
      </c>
      <c r="E327" t="s">
        <v>964</v>
      </c>
      <c r="F327" t="str">
        <f>INDEX($I$3:$I$18,MATCH(jobcat19[[#This Row],[Pricing category ]],$H$3:$H$18,0),1)</f>
        <v>Technical Services</v>
      </c>
    </row>
    <row r="328" spans="1:6" hidden="1" x14ac:dyDescent="0.2">
      <c r="A328">
        <v>571</v>
      </c>
      <c r="B328" t="s">
        <v>1496</v>
      </c>
      <c r="C328" t="s">
        <v>1497</v>
      </c>
      <c r="D328" t="s">
        <v>1498</v>
      </c>
      <c r="E328" t="s">
        <v>92</v>
      </c>
      <c r="F328" t="str">
        <f>INDEX($I$3:$I$18,MATCH(jobcat19[[#This Row],[Pricing category ]],$H$3:$H$18,0),1)</f>
        <v xml:space="preserve">Professional Services </v>
      </c>
    </row>
    <row r="329" spans="1:6" x14ac:dyDescent="0.2">
      <c r="A329">
        <v>572</v>
      </c>
      <c r="B329" t="s">
        <v>1499</v>
      </c>
      <c r="C329" t="s">
        <v>535</v>
      </c>
      <c r="D329" t="s">
        <v>206</v>
      </c>
      <c r="E329" s="191" t="s">
        <v>953</v>
      </c>
      <c r="F329" t="str">
        <f>INDEX($I$3:$I$18,MATCH(jobcat19[[#This Row],[Pricing category ]],$H$3:$H$18,0),1)</f>
        <v>Technical Services</v>
      </c>
    </row>
    <row r="330" spans="1:6" hidden="1" x14ac:dyDescent="0.2">
      <c r="A330">
        <v>573</v>
      </c>
      <c r="B330" t="s">
        <v>791</v>
      </c>
      <c r="C330" t="s">
        <v>396</v>
      </c>
      <c r="D330" t="s">
        <v>1500</v>
      </c>
      <c r="E330" s="191" t="s">
        <v>347</v>
      </c>
      <c r="F330" t="str">
        <f>INDEX($I$3:$I$18,MATCH(jobcat19[[#This Row],[Pricing category ]],$H$3:$H$18,0),1)</f>
        <v xml:space="preserve">Professional Services </v>
      </c>
    </row>
    <row r="331" spans="1:6" hidden="1" x14ac:dyDescent="0.2">
      <c r="A331">
        <v>574</v>
      </c>
      <c r="B331" t="s">
        <v>859</v>
      </c>
      <c r="C331" t="s">
        <v>1501</v>
      </c>
      <c r="D331" t="s">
        <v>1304</v>
      </c>
      <c r="E331" s="191" t="s">
        <v>969</v>
      </c>
      <c r="F331" t="str">
        <f>INDEX($I$3:$I$18,MATCH(jobcat19[[#This Row],[Pricing category ]],$H$3:$H$18,0),1)</f>
        <v xml:space="preserve">Professional Services </v>
      </c>
    </row>
    <row r="332" spans="1:6" x14ac:dyDescent="0.2">
      <c r="A332">
        <v>575</v>
      </c>
      <c r="B332" t="s">
        <v>1502</v>
      </c>
      <c r="C332" t="s">
        <v>1503</v>
      </c>
      <c r="D332" t="s">
        <v>1334</v>
      </c>
      <c r="E332" s="191" t="s">
        <v>372</v>
      </c>
      <c r="F332" t="str">
        <f>INDEX($I$3:$I$18,MATCH(jobcat19[[#This Row],[Pricing category ]],$H$3:$H$18,0),1)</f>
        <v>Technical Services</v>
      </c>
    </row>
    <row r="333" spans="1:6" x14ac:dyDescent="0.2">
      <c r="A333">
        <v>576</v>
      </c>
      <c r="B333" t="s">
        <v>1504</v>
      </c>
      <c r="C333" t="s">
        <v>611</v>
      </c>
      <c r="D333" t="s">
        <v>206</v>
      </c>
      <c r="E333" s="191" t="s">
        <v>953</v>
      </c>
      <c r="F333" t="str">
        <f>INDEX($I$3:$I$18,MATCH(jobcat19[[#This Row],[Pricing category ]],$H$3:$H$18,0),1)</f>
        <v>Technical Services</v>
      </c>
    </row>
    <row r="334" spans="1:6" hidden="1" x14ac:dyDescent="0.2">
      <c r="A334">
        <v>577</v>
      </c>
      <c r="B334" t="s">
        <v>1505</v>
      </c>
      <c r="C334" t="s">
        <v>1506</v>
      </c>
      <c r="D334" t="s">
        <v>1507</v>
      </c>
      <c r="E334" s="191" t="s">
        <v>92</v>
      </c>
      <c r="F334" t="str">
        <f>INDEX($I$3:$I$18,MATCH(jobcat19[[#This Row],[Pricing category ]],$H$3:$H$18,0),1)</f>
        <v xml:space="preserve">Professional Services </v>
      </c>
    </row>
    <row r="335" spans="1:6" hidden="1" x14ac:dyDescent="0.2">
      <c r="A335">
        <v>578</v>
      </c>
      <c r="B335" t="s">
        <v>647</v>
      </c>
      <c r="C335" t="s">
        <v>1508</v>
      </c>
      <c r="D335" t="s">
        <v>114</v>
      </c>
      <c r="E335" t="s">
        <v>92</v>
      </c>
      <c r="F335" t="str">
        <f>INDEX($I$3:$I$18,MATCH(jobcat19[[#This Row],[Pricing category ]],$H$3:$H$18,0),1)</f>
        <v xml:space="preserve">Professional Services </v>
      </c>
    </row>
    <row r="336" spans="1:6" x14ac:dyDescent="0.2">
      <c r="A336">
        <v>579</v>
      </c>
      <c r="B336" t="s">
        <v>861</v>
      </c>
      <c r="C336" t="s">
        <v>619</v>
      </c>
      <c r="D336" t="s">
        <v>206</v>
      </c>
      <c r="E336" t="s">
        <v>953</v>
      </c>
      <c r="F336" t="str">
        <f>INDEX($I$3:$I$18,MATCH(jobcat19[[#This Row],[Pricing category ]],$H$3:$H$18,0),1)</f>
        <v>Technical Services</v>
      </c>
    </row>
    <row r="337" spans="1:6" hidden="1" x14ac:dyDescent="0.2">
      <c r="A337">
        <v>580</v>
      </c>
      <c r="B337" t="s">
        <v>1509</v>
      </c>
      <c r="C337" t="s">
        <v>542</v>
      </c>
      <c r="D337" t="s">
        <v>1510</v>
      </c>
      <c r="E337" t="s">
        <v>347</v>
      </c>
      <c r="F337" t="str">
        <f>INDEX($I$3:$I$18,MATCH(jobcat19[[#This Row],[Pricing category ]],$H$3:$H$18,0),1)</f>
        <v xml:space="preserve">Professional Services </v>
      </c>
    </row>
    <row r="338" spans="1:6" hidden="1" x14ac:dyDescent="0.2">
      <c r="A338">
        <v>581</v>
      </c>
      <c r="B338" t="s">
        <v>1511</v>
      </c>
      <c r="C338" t="s">
        <v>1512</v>
      </c>
      <c r="D338" t="s">
        <v>1149</v>
      </c>
      <c r="E338" t="s">
        <v>92</v>
      </c>
      <c r="F338" t="str">
        <f>INDEX($I$3:$I$18,MATCH(jobcat19[[#This Row],[Pricing category ]],$H$3:$H$18,0),1)</f>
        <v xml:space="preserve">Professional Services </v>
      </c>
    </row>
    <row r="339" spans="1:6" hidden="1" x14ac:dyDescent="0.2">
      <c r="A339">
        <v>582</v>
      </c>
      <c r="B339" t="s">
        <v>1513</v>
      </c>
      <c r="C339" t="s">
        <v>788</v>
      </c>
      <c r="D339" t="s">
        <v>1149</v>
      </c>
      <c r="E339" s="191" t="s">
        <v>92</v>
      </c>
      <c r="F339" t="str">
        <f>INDEX($I$3:$I$18,MATCH(jobcat19[[#This Row],[Pricing category ]],$H$3:$H$18,0),1)</f>
        <v xml:space="preserve">Professional Services </v>
      </c>
    </row>
    <row r="340" spans="1:6" x14ac:dyDescent="0.2">
      <c r="A340">
        <v>583</v>
      </c>
      <c r="B340" t="s">
        <v>1514</v>
      </c>
      <c r="C340" t="s">
        <v>545</v>
      </c>
      <c r="D340" t="s">
        <v>975</v>
      </c>
      <c r="E340" t="s">
        <v>372</v>
      </c>
      <c r="F340" t="str">
        <f>INDEX($I$3:$I$18,MATCH(jobcat19[[#This Row],[Pricing category ]],$H$3:$H$18,0),1)</f>
        <v>Technical Services</v>
      </c>
    </row>
    <row r="341" spans="1:6" x14ac:dyDescent="0.2">
      <c r="A341">
        <v>584</v>
      </c>
      <c r="B341" t="s">
        <v>1515</v>
      </c>
      <c r="C341" t="s">
        <v>1516</v>
      </c>
      <c r="D341" t="s">
        <v>318</v>
      </c>
      <c r="E341" t="s">
        <v>953</v>
      </c>
      <c r="F341" t="str">
        <f>INDEX($I$3:$I$18,MATCH(jobcat19[[#This Row],[Pricing category ]],$H$3:$H$18,0),1)</f>
        <v>Technical Services</v>
      </c>
    </row>
    <row r="342" spans="1:6" x14ac:dyDescent="0.2">
      <c r="A342">
        <v>585</v>
      </c>
      <c r="B342" t="s">
        <v>1517</v>
      </c>
      <c r="C342" t="s">
        <v>548</v>
      </c>
      <c r="D342" t="s">
        <v>206</v>
      </c>
      <c r="E342" t="s">
        <v>953</v>
      </c>
      <c r="F342" t="str">
        <f>INDEX($I$3:$I$18,MATCH(jobcat19[[#This Row],[Pricing category ]],$H$3:$H$18,0),1)</f>
        <v>Technical Services</v>
      </c>
    </row>
    <row r="343" spans="1:6" x14ac:dyDescent="0.2">
      <c r="A343">
        <v>586</v>
      </c>
      <c r="B343" t="s">
        <v>1518</v>
      </c>
      <c r="C343" t="s">
        <v>1519</v>
      </c>
      <c r="D343" t="s">
        <v>318</v>
      </c>
      <c r="E343" t="s">
        <v>953</v>
      </c>
      <c r="F343" t="str">
        <f>INDEX($I$3:$I$18,MATCH(jobcat19[[#This Row],[Pricing category ]],$H$3:$H$18,0),1)</f>
        <v>Technical Services</v>
      </c>
    </row>
    <row r="344" spans="1:6" x14ac:dyDescent="0.2">
      <c r="A344">
        <v>587</v>
      </c>
      <c r="B344" t="s">
        <v>1520</v>
      </c>
      <c r="C344" t="s">
        <v>551</v>
      </c>
      <c r="D344" t="s">
        <v>169</v>
      </c>
      <c r="E344" s="191" t="s">
        <v>372</v>
      </c>
      <c r="F344" t="str">
        <f>INDEX($I$3:$I$18,MATCH(jobcat19[[#This Row],[Pricing category ]],$H$3:$H$18,0),1)</f>
        <v>Technical Services</v>
      </c>
    </row>
    <row r="345" spans="1:6" x14ac:dyDescent="0.2">
      <c r="A345">
        <v>588</v>
      </c>
      <c r="B345" t="s">
        <v>1521</v>
      </c>
      <c r="C345" t="s">
        <v>1522</v>
      </c>
      <c r="D345" t="s">
        <v>169</v>
      </c>
      <c r="E345" s="191" t="s">
        <v>372</v>
      </c>
      <c r="F345" t="str">
        <f>INDEX($I$3:$I$18,MATCH(jobcat19[[#This Row],[Pricing category ]],$H$3:$H$18,0),1)</f>
        <v>Technical Services</v>
      </c>
    </row>
    <row r="346" spans="1:6" x14ac:dyDescent="0.2">
      <c r="A346">
        <v>589</v>
      </c>
      <c r="B346" t="s">
        <v>1523</v>
      </c>
      <c r="C346" t="s">
        <v>554</v>
      </c>
      <c r="D346" t="s">
        <v>1104</v>
      </c>
      <c r="E346" t="s">
        <v>372</v>
      </c>
      <c r="F346" t="str">
        <f>INDEX($I$3:$I$18,MATCH(jobcat19[[#This Row],[Pricing category ]],$H$3:$H$18,0),1)</f>
        <v>Technical Services</v>
      </c>
    </row>
    <row r="347" spans="1:6" x14ac:dyDescent="0.2">
      <c r="A347">
        <v>590</v>
      </c>
      <c r="B347" t="s">
        <v>1524</v>
      </c>
      <c r="C347" t="s">
        <v>556</v>
      </c>
      <c r="D347" t="s">
        <v>1104</v>
      </c>
      <c r="E347" t="s">
        <v>372</v>
      </c>
      <c r="F347" t="str">
        <f>INDEX($I$3:$I$18,MATCH(jobcat19[[#This Row],[Pricing category ]],$H$3:$H$18,0),1)</f>
        <v>Technical Services</v>
      </c>
    </row>
    <row r="348" spans="1:6" x14ac:dyDescent="0.2">
      <c r="A348">
        <v>591</v>
      </c>
      <c r="B348" t="s">
        <v>1525</v>
      </c>
      <c r="C348" t="s">
        <v>558</v>
      </c>
      <c r="D348" t="s">
        <v>169</v>
      </c>
      <c r="E348" s="191" t="s">
        <v>372</v>
      </c>
      <c r="F348" t="str">
        <f>INDEX($I$3:$I$18,MATCH(jobcat19[[#This Row],[Pricing category ]],$H$3:$H$18,0),1)</f>
        <v>Technical Services</v>
      </c>
    </row>
    <row r="349" spans="1:6" x14ac:dyDescent="0.2">
      <c r="A349">
        <v>592</v>
      </c>
      <c r="B349" t="s">
        <v>1526</v>
      </c>
      <c r="C349" t="s">
        <v>540</v>
      </c>
      <c r="D349" t="s">
        <v>975</v>
      </c>
      <c r="E349" t="s">
        <v>372</v>
      </c>
      <c r="F349" t="str">
        <f>INDEX($I$3:$I$18,MATCH(jobcat19[[#This Row],[Pricing category ]],$H$3:$H$18,0),1)</f>
        <v>Technical Services</v>
      </c>
    </row>
    <row r="350" spans="1:6" hidden="1" x14ac:dyDescent="0.2">
      <c r="A350">
        <v>593</v>
      </c>
      <c r="B350" t="s">
        <v>1527</v>
      </c>
      <c r="C350" t="s">
        <v>570</v>
      </c>
      <c r="D350" t="s">
        <v>571</v>
      </c>
      <c r="E350" s="191" t="s">
        <v>92</v>
      </c>
      <c r="F350" t="str">
        <f>INDEX($I$3:$I$18,MATCH(jobcat19[[#This Row],[Pricing category ]],$H$3:$H$18,0),1)</f>
        <v xml:space="preserve">Professional Services </v>
      </c>
    </row>
    <row r="351" spans="1:6" x14ac:dyDescent="0.2">
      <c r="A351">
        <v>594</v>
      </c>
      <c r="B351" t="s">
        <v>1528</v>
      </c>
      <c r="C351" t="s">
        <v>1529</v>
      </c>
      <c r="D351" t="s">
        <v>206</v>
      </c>
      <c r="E351" t="s">
        <v>953</v>
      </c>
      <c r="F351" t="str">
        <f>INDEX($I$3:$I$18,MATCH(jobcat19[[#This Row],[Pricing category ]],$H$3:$H$18,0),1)</f>
        <v>Technical Services</v>
      </c>
    </row>
    <row r="352" spans="1:6" x14ac:dyDescent="0.2">
      <c r="A352">
        <v>595</v>
      </c>
      <c r="B352" t="s">
        <v>1530</v>
      </c>
      <c r="C352" t="s">
        <v>574</v>
      </c>
      <c r="D352" t="s">
        <v>206</v>
      </c>
      <c r="E352" t="s">
        <v>953</v>
      </c>
      <c r="F352" t="str">
        <f>INDEX($I$3:$I$18,MATCH(jobcat19[[#This Row],[Pricing category ]],$H$3:$H$18,0),1)</f>
        <v>Technical Services</v>
      </c>
    </row>
    <row r="353" spans="1:6" hidden="1" x14ac:dyDescent="0.2">
      <c r="A353">
        <v>596</v>
      </c>
      <c r="B353" t="s">
        <v>859</v>
      </c>
      <c r="C353" t="s">
        <v>579</v>
      </c>
      <c r="D353" t="s">
        <v>580</v>
      </c>
      <c r="E353" t="s">
        <v>92</v>
      </c>
      <c r="F353" t="str">
        <f>INDEX($I$3:$I$18,MATCH(jobcat19[[#This Row],[Pricing category ]],$H$3:$H$18,0),1)</f>
        <v xml:space="preserve">Professional Services </v>
      </c>
    </row>
    <row r="354" spans="1:6" x14ac:dyDescent="0.2">
      <c r="A354">
        <v>597</v>
      </c>
      <c r="B354" t="s">
        <v>1531</v>
      </c>
      <c r="C354" t="s">
        <v>576</v>
      </c>
      <c r="D354" t="s">
        <v>1438</v>
      </c>
      <c r="E354" t="s">
        <v>372</v>
      </c>
      <c r="F354" t="str">
        <f>INDEX($I$3:$I$18,MATCH(jobcat19[[#This Row],[Pricing category ]],$H$3:$H$18,0),1)</f>
        <v>Technical Services</v>
      </c>
    </row>
    <row r="355" spans="1:6" x14ac:dyDescent="0.2">
      <c r="A355">
        <v>598</v>
      </c>
      <c r="B355" t="s">
        <v>1532</v>
      </c>
      <c r="C355" t="s">
        <v>1533</v>
      </c>
      <c r="D355" t="s">
        <v>206</v>
      </c>
      <c r="E355" s="191" t="s">
        <v>953</v>
      </c>
      <c r="F355" t="str">
        <f>INDEX($I$3:$I$18,MATCH(jobcat19[[#This Row],[Pricing category ]],$H$3:$H$18,0),1)</f>
        <v>Technical Services</v>
      </c>
    </row>
    <row r="356" spans="1:6" hidden="1" x14ac:dyDescent="0.2">
      <c r="A356">
        <v>600</v>
      </c>
      <c r="B356" t="s">
        <v>1534</v>
      </c>
      <c r="C356" t="s">
        <v>584</v>
      </c>
      <c r="D356" t="s">
        <v>1535</v>
      </c>
      <c r="E356" t="s">
        <v>969</v>
      </c>
      <c r="F356" t="str">
        <f>INDEX($I$3:$I$18,MATCH(jobcat19[[#This Row],[Pricing category ]],$H$3:$H$18,0),1)</f>
        <v xml:space="preserve">Professional Services </v>
      </c>
    </row>
    <row r="357" spans="1:6" hidden="1" x14ac:dyDescent="0.2">
      <c r="A357">
        <v>601</v>
      </c>
      <c r="B357" t="s">
        <v>1536</v>
      </c>
      <c r="C357" t="s">
        <v>1537</v>
      </c>
      <c r="D357" t="s">
        <v>114</v>
      </c>
      <c r="E357" t="s">
        <v>92</v>
      </c>
      <c r="F357" t="str">
        <f>INDEX($I$3:$I$18,MATCH(jobcat19[[#This Row],[Pricing category ]],$H$3:$H$18,0),1)</f>
        <v xml:space="preserve">Professional Services </v>
      </c>
    </row>
    <row r="358" spans="1:6" hidden="1" x14ac:dyDescent="0.2">
      <c r="A358">
        <v>602</v>
      </c>
      <c r="B358" t="s">
        <v>1538</v>
      </c>
      <c r="C358" t="s">
        <v>597</v>
      </c>
      <c r="D358" t="s">
        <v>1304</v>
      </c>
      <c r="E358" t="s">
        <v>969</v>
      </c>
      <c r="F358" t="str">
        <f>INDEX($I$3:$I$18,MATCH(jobcat19[[#This Row],[Pricing category ]],$H$3:$H$18,0),1)</f>
        <v xml:space="preserve">Professional Services </v>
      </c>
    </row>
    <row r="359" spans="1:6" hidden="1" x14ac:dyDescent="0.2">
      <c r="A359">
        <v>612</v>
      </c>
      <c r="B359" t="s">
        <v>1539</v>
      </c>
      <c r="C359" t="s">
        <v>1540</v>
      </c>
      <c r="D359" t="s">
        <v>594</v>
      </c>
      <c r="E359" s="191" t="s">
        <v>118</v>
      </c>
      <c r="F359" t="str">
        <f>INDEX($I$3:$I$18,MATCH(jobcat19[[#This Row],[Pricing category ]],$H$3:$H$18,0),1)</f>
        <v xml:space="preserve">Professional Services </v>
      </c>
    </row>
    <row r="360" spans="1:6" x14ac:dyDescent="0.2">
      <c r="A360">
        <v>613</v>
      </c>
      <c r="B360" t="s">
        <v>1541</v>
      </c>
      <c r="C360" t="s">
        <v>590</v>
      </c>
      <c r="D360" t="s">
        <v>591</v>
      </c>
      <c r="E360" t="s">
        <v>372</v>
      </c>
      <c r="F360" t="str">
        <f>INDEX($I$3:$I$18,MATCH(jobcat19[[#This Row],[Pricing category ]],$H$3:$H$18,0),1)</f>
        <v>Technical Services</v>
      </c>
    </row>
    <row r="361" spans="1:6" hidden="1" x14ac:dyDescent="0.2">
      <c r="A361">
        <v>627</v>
      </c>
      <c r="B361" t="s">
        <v>1542</v>
      </c>
      <c r="C361" t="s">
        <v>587</v>
      </c>
      <c r="D361" t="s">
        <v>588</v>
      </c>
      <c r="E361" t="s">
        <v>969</v>
      </c>
      <c r="F361" t="str">
        <f>INDEX($I$3:$I$18,MATCH(jobcat19[[#This Row],[Pricing category ]],$H$3:$H$18,0),1)</f>
        <v xml:space="preserve">Professional Services </v>
      </c>
    </row>
    <row r="362" spans="1:6" hidden="1" x14ac:dyDescent="0.2">
      <c r="A362">
        <v>628</v>
      </c>
      <c r="B362" t="s">
        <v>1543</v>
      </c>
      <c r="C362" t="s">
        <v>600</v>
      </c>
      <c r="D362" t="s">
        <v>1033</v>
      </c>
      <c r="E362" t="s">
        <v>956</v>
      </c>
      <c r="F362" t="str">
        <f>INDEX($I$3:$I$18,MATCH(jobcat19[[#This Row],[Pricing category ]],$H$3:$H$18,0),1)</f>
        <v xml:space="preserve">Professional Services </v>
      </c>
    </row>
    <row r="363" spans="1:6" x14ac:dyDescent="0.2">
      <c r="A363">
        <v>629</v>
      </c>
      <c r="B363" t="s">
        <v>1544</v>
      </c>
      <c r="C363" t="s">
        <v>602</v>
      </c>
      <c r="D363" t="s">
        <v>169</v>
      </c>
      <c r="E363" s="191" t="s">
        <v>372</v>
      </c>
      <c r="F363" t="str">
        <f>INDEX($I$3:$I$18,MATCH(jobcat19[[#This Row],[Pricing category ]],$H$3:$H$18,0),1)</f>
        <v>Technical Services</v>
      </c>
    </row>
    <row r="364" spans="1:6" hidden="1" x14ac:dyDescent="0.2">
      <c r="A364">
        <v>630</v>
      </c>
      <c r="B364" t="s">
        <v>1545</v>
      </c>
      <c r="C364" t="s">
        <v>608</v>
      </c>
      <c r="D364" t="s">
        <v>609</v>
      </c>
      <c r="E364" t="s">
        <v>92</v>
      </c>
      <c r="F364" t="str">
        <f>INDEX($I$3:$I$18,MATCH(jobcat19[[#This Row],[Pricing category ]],$H$3:$H$18,0),1)</f>
        <v xml:space="preserve">Professional Services </v>
      </c>
    </row>
    <row r="365" spans="1:6" x14ac:dyDescent="0.2">
      <c r="A365">
        <v>631</v>
      </c>
      <c r="B365" t="s">
        <v>1546</v>
      </c>
      <c r="C365" t="s">
        <v>1547</v>
      </c>
      <c r="D365" t="s">
        <v>169</v>
      </c>
      <c r="E365" t="s">
        <v>372</v>
      </c>
      <c r="F365" t="str">
        <f>INDEX($I$3:$I$18,MATCH(jobcat19[[#This Row],[Pricing category ]],$H$3:$H$18,0),1)</f>
        <v>Technical Services</v>
      </c>
    </row>
    <row r="366" spans="1:6" hidden="1" x14ac:dyDescent="0.2">
      <c r="A366">
        <v>633</v>
      </c>
      <c r="B366" t="s">
        <v>1548</v>
      </c>
      <c r="C366" t="s">
        <v>863</v>
      </c>
      <c r="D366" t="s">
        <v>173</v>
      </c>
      <c r="E366" t="s">
        <v>347</v>
      </c>
      <c r="F366" t="str">
        <f>INDEX($I$3:$I$18,MATCH(jobcat19[[#This Row],[Pricing category ]],$H$3:$H$18,0),1)</f>
        <v xml:space="preserve">Professional Services </v>
      </c>
    </row>
    <row r="367" spans="1:6" x14ac:dyDescent="0.2">
      <c r="A367">
        <v>634</v>
      </c>
      <c r="B367" t="s">
        <v>1549</v>
      </c>
      <c r="C367" t="s">
        <v>604</v>
      </c>
      <c r="D367" t="s">
        <v>605</v>
      </c>
      <c r="E367" t="s">
        <v>964</v>
      </c>
      <c r="F367" t="str">
        <f>INDEX($I$3:$I$18,MATCH(jobcat19[[#This Row],[Pricing category ]],$H$3:$H$18,0),1)</f>
        <v>Technical Services</v>
      </c>
    </row>
    <row r="368" spans="1:6" hidden="1" x14ac:dyDescent="0.2">
      <c r="A368">
        <v>635</v>
      </c>
      <c r="B368" t="s">
        <v>1550</v>
      </c>
      <c r="C368" t="s">
        <v>1551</v>
      </c>
      <c r="D368" t="s">
        <v>1552</v>
      </c>
      <c r="E368" t="s">
        <v>347</v>
      </c>
      <c r="F368" t="str">
        <f>INDEX($I$3:$I$18,MATCH(jobcat19[[#This Row],[Pricing category ]],$H$3:$H$18,0),1)</f>
        <v xml:space="preserve">Professional Services </v>
      </c>
    </row>
    <row r="369" spans="1:6" hidden="1" x14ac:dyDescent="0.2">
      <c r="A369">
        <v>636</v>
      </c>
      <c r="B369" t="s">
        <v>1553</v>
      </c>
      <c r="C369" t="s">
        <v>560</v>
      </c>
      <c r="D369" t="s">
        <v>1554</v>
      </c>
      <c r="E369" s="191" t="s">
        <v>92</v>
      </c>
      <c r="F369" t="str">
        <f>INDEX($I$3:$I$18,MATCH(jobcat19[[#This Row],[Pricing category ]],$H$3:$H$18,0),1)</f>
        <v xml:space="preserve">Professional Services </v>
      </c>
    </row>
    <row r="370" spans="1:6" x14ac:dyDescent="0.2">
      <c r="A370">
        <v>647</v>
      </c>
      <c r="B370" t="s">
        <v>1555</v>
      </c>
      <c r="C370" t="s">
        <v>463</v>
      </c>
      <c r="D370" t="s">
        <v>372</v>
      </c>
      <c r="E370" t="s">
        <v>372</v>
      </c>
      <c r="F370" t="str">
        <f>INDEX($I$3:$I$18,MATCH(jobcat19[[#This Row],[Pricing category ]],$H$3:$H$18,0),1)</f>
        <v>Technical Services</v>
      </c>
    </row>
    <row r="371" spans="1:6" hidden="1" x14ac:dyDescent="0.2">
      <c r="A371">
        <v>648</v>
      </c>
      <c r="B371" t="s">
        <v>1327</v>
      </c>
      <c r="C371" t="s">
        <v>1556</v>
      </c>
      <c r="D371" t="s">
        <v>645</v>
      </c>
      <c r="E371" t="s">
        <v>956</v>
      </c>
      <c r="F371" t="str">
        <f>INDEX($I$3:$I$18,MATCH(jobcat19[[#This Row],[Pricing category ]],$H$3:$H$18,0),1)</f>
        <v xml:space="preserve">Professional Services </v>
      </c>
    </row>
    <row r="372" spans="1:6" hidden="1" x14ac:dyDescent="0.2">
      <c r="A372">
        <v>656</v>
      </c>
      <c r="B372" t="s">
        <v>1557</v>
      </c>
      <c r="C372" t="s">
        <v>624</v>
      </c>
      <c r="D372" t="s">
        <v>386</v>
      </c>
      <c r="E372" t="s">
        <v>956</v>
      </c>
      <c r="F372" t="str">
        <f>INDEX($I$3:$I$18,MATCH(jobcat19[[#This Row],[Pricing category ]],$H$3:$H$18,0),1)</f>
        <v xml:space="preserve">Professional Services </v>
      </c>
    </row>
    <row r="373" spans="1:6" hidden="1" x14ac:dyDescent="0.2">
      <c r="A373">
        <v>657</v>
      </c>
      <c r="B373" t="s">
        <v>1558</v>
      </c>
      <c r="C373" t="s">
        <v>473</v>
      </c>
      <c r="D373" t="s">
        <v>622</v>
      </c>
      <c r="E373" t="s">
        <v>92</v>
      </c>
      <c r="F373" t="str">
        <f>INDEX($I$3:$I$18,MATCH(jobcat19[[#This Row],[Pricing category ]],$H$3:$H$18,0),1)</f>
        <v xml:space="preserve">Professional Services </v>
      </c>
    </row>
    <row r="374" spans="1:6" hidden="1" x14ac:dyDescent="0.2">
      <c r="A374">
        <v>658</v>
      </c>
      <c r="B374" t="s">
        <v>1559</v>
      </c>
      <c r="C374" t="s">
        <v>1560</v>
      </c>
      <c r="D374" t="s">
        <v>1561</v>
      </c>
      <c r="E374" t="s">
        <v>118</v>
      </c>
      <c r="F374" t="str">
        <f>INDEX($I$3:$I$18,MATCH(jobcat19[[#This Row],[Pricing category ]],$H$3:$H$18,0),1)</f>
        <v xml:space="preserve">Professional Services </v>
      </c>
    </row>
    <row r="375" spans="1:6" hidden="1" x14ac:dyDescent="0.2">
      <c r="A375">
        <v>659</v>
      </c>
      <c r="B375" t="s">
        <v>1562</v>
      </c>
      <c r="C375" t="s">
        <v>630</v>
      </c>
      <c r="D375" t="s">
        <v>1149</v>
      </c>
      <c r="E375" s="191" t="s">
        <v>92</v>
      </c>
      <c r="F375" t="str">
        <f>INDEX($I$3:$I$18,MATCH(jobcat19[[#This Row],[Pricing category ]],$H$3:$H$18,0),1)</f>
        <v xml:space="preserve">Professional Services </v>
      </c>
    </row>
    <row r="376" spans="1:6" hidden="1" x14ac:dyDescent="0.2">
      <c r="A376">
        <v>660</v>
      </c>
      <c r="B376" t="s">
        <v>1563</v>
      </c>
      <c r="C376" t="s">
        <v>627</v>
      </c>
      <c r="D376" t="s">
        <v>1564</v>
      </c>
      <c r="E376" s="191" t="s">
        <v>92</v>
      </c>
      <c r="F376" t="str">
        <f>INDEX($I$3:$I$18,MATCH(jobcat19[[#This Row],[Pricing category ]],$H$3:$H$18,0),1)</f>
        <v xml:space="preserve">Professional Services </v>
      </c>
    </row>
    <row r="377" spans="1:6" hidden="1" x14ac:dyDescent="0.2">
      <c r="A377">
        <v>661</v>
      </c>
      <c r="B377" t="s">
        <v>565</v>
      </c>
      <c r="C377" t="s">
        <v>566</v>
      </c>
      <c r="D377" t="s">
        <v>567</v>
      </c>
      <c r="E377" s="191" t="s">
        <v>92</v>
      </c>
      <c r="F377" t="str">
        <f>INDEX($I$3:$I$18,MATCH(jobcat19[[#This Row],[Pricing category ]],$H$3:$H$18,0),1)</f>
        <v xml:space="preserve">Professional Services </v>
      </c>
    </row>
    <row r="378" spans="1:6" x14ac:dyDescent="0.2">
      <c r="A378">
        <v>662</v>
      </c>
      <c r="B378" t="s">
        <v>1565</v>
      </c>
      <c r="C378" t="s">
        <v>633</v>
      </c>
      <c r="D378" t="s">
        <v>169</v>
      </c>
      <c r="E378" s="191" t="s">
        <v>372</v>
      </c>
      <c r="F378" t="str">
        <f>INDEX($I$3:$I$18,MATCH(jobcat19[[#This Row],[Pricing category ]],$H$3:$H$18,0),1)</f>
        <v>Technical Services</v>
      </c>
    </row>
    <row r="379" spans="1:6" hidden="1" x14ac:dyDescent="0.2">
      <c r="A379">
        <v>663</v>
      </c>
      <c r="B379" t="s">
        <v>1566</v>
      </c>
      <c r="C379" t="s">
        <v>563</v>
      </c>
      <c r="D379" t="s">
        <v>464</v>
      </c>
      <c r="E379" t="s">
        <v>464</v>
      </c>
      <c r="F379" t="str">
        <f>INDEX($I$3:$I$18,MATCH(jobcat19[[#This Row],[Pricing category ]],$H$3:$H$18,0),1)</f>
        <v xml:space="preserve">Professional Services </v>
      </c>
    </row>
    <row r="380" spans="1:6" hidden="1" x14ac:dyDescent="0.2">
      <c r="A380">
        <v>664</v>
      </c>
      <c r="B380" t="s">
        <v>1567</v>
      </c>
      <c r="C380" t="s">
        <v>616</v>
      </c>
      <c r="D380" t="s">
        <v>464</v>
      </c>
      <c r="E380" t="s">
        <v>464</v>
      </c>
      <c r="F380" t="str">
        <f>INDEX($I$3:$I$18,MATCH(jobcat19[[#This Row],[Pricing category ]],$H$3:$H$18,0),1)</f>
        <v xml:space="preserve">Professional Services </v>
      </c>
    </row>
    <row r="381" spans="1:6" x14ac:dyDescent="0.2">
      <c r="A381">
        <v>668</v>
      </c>
      <c r="B381" t="s">
        <v>1568</v>
      </c>
      <c r="C381" t="s">
        <v>636</v>
      </c>
      <c r="D381" t="s">
        <v>114</v>
      </c>
      <c r="E381" t="s">
        <v>964</v>
      </c>
      <c r="F381" t="str">
        <f>INDEX($I$3:$I$18,MATCH(jobcat19[[#This Row],[Pricing category ]],$H$3:$H$18,0),1)</f>
        <v>Technical Services</v>
      </c>
    </row>
    <row r="382" spans="1:6" x14ac:dyDescent="0.2">
      <c r="A382">
        <v>670</v>
      </c>
      <c r="B382" t="s">
        <v>1569</v>
      </c>
      <c r="C382" t="s">
        <v>1570</v>
      </c>
      <c r="D382" t="s">
        <v>318</v>
      </c>
      <c r="E382" s="191" t="s">
        <v>953</v>
      </c>
      <c r="F382" t="str">
        <f>INDEX($I$3:$I$18,MATCH(jobcat19[[#This Row],[Pricing category ]],$H$3:$H$18,0),1)</f>
        <v>Technical Services</v>
      </c>
    </row>
    <row r="383" spans="1:6" hidden="1" x14ac:dyDescent="0.2">
      <c r="A383">
        <v>671</v>
      </c>
      <c r="B383" t="s">
        <v>1571</v>
      </c>
      <c r="C383" t="s">
        <v>644</v>
      </c>
      <c r="D383" t="s">
        <v>645</v>
      </c>
      <c r="E383" t="s">
        <v>956</v>
      </c>
      <c r="F383" t="str">
        <f>INDEX($I$3:$I$18,MATCH(jobcat19[[#This Row],[Pricing category ]],$H$3:$H$18,0),1)</f>
        <v xml:space="preserve">Professional Services </v>
      </c>
    </row>
    <row r="384" spans="1:6" x14ac:dyDescent="0.2">
      <c r="A384">
        <v>672</v>
      </c>
      <c r="B384" t="s">
        <v>1572</v>
      </c>
      <c r="C384" t="s">
        <v>649</v>
      </c>
      <c r="D384" t="s">
        <v>169</v>
      </c>
      <c r="E384" s="191" t="s">
        <v>372</v>
      </c>
      <c r="F384" t="str">
        <f>INDEX($I$3:$I$18,MATCH(jobcat19[[#This Row],[Pricing category ]],$H$3:$H$18,0),1)</f>
        <v>Technical Services</v>
      </c>
    </row>
    <row r="385" spans="1:6" hidden="1" x14ac:dyDescent="0.2">
      <c r="A385">
        <v>673</v>
      </c>
      <c r="B385" t="s">
        <v>1573</v>
      </c>
      <c r="C385" t="s">
        <v>1574</v>
      </c>
      <c r="D385" t="s">
        <v>464</v>
      </c>
      <c r="E385" t="s">
        <v>464</v>
      </c>
      <c r="F385" t="str">
        <f>INDEX($I$3:$I$18,MATCH(jobcat19[[#This Row],[Pricing category ]],$H$3:$H$18,0),1)</f>
        <v xml:space="preserve">Professional Services </v>
      </c>
    </row>
    <row r="386" spans="1:6" x14ac:dyDescent="0.2">
      <c r="A386">
        <v>674</v>
      </c>
      <c r="B386" t="s">
        <v>1575</v>
      </c>
      <c r="C386" t="s">
        <v>662</v>
      </c>
      <c r="D386" t="s">
        <v>511</v>
      </c>
      <c r="E386" s="191" t="s">
        <v>964</v>
      </c>
      <c r="F386" t="str">
        <f>INDEX($I$3:$I$18,MATCH(jobcat19[[#This Row],[Pricing category ]],$H$3:$H$18,0),1)</f>
        <v>Technical Services</v>
      </c>
    </row>
    <row r="387" spans="1:6" x14ac:dyDescent="0.2">
      <c r="A387">
        <v>675</v>
      </c>
      <c r="B387" t="s">
        <v>1576</v>
      </c>
      <c r="C387" t="s">
        <v>640</v>
      </c>
      <c r="D387" t="s">
        <v>206</v>
      </c>
      <c r="E387" t="s">
        <v>953</v>
      </c>
      <c r="F387" t="str">
        <f>INDEX($I$3:$I$18,MATCH(jobcat19[[#This Row],[Pricing category ]],$H$3:$H$18,0),1)</f>
        <v>Technical Services</v>
      </c>
    </row>
    <row r="388" spans="1:6" hidden="1" x14ac:dyDescent="0.2">
      <c r="A388">
        <v>676</v>
      </c>
      <c r="B388" t="s">
        <v>1577</v>
      </c>
      <c r="C388" t="s">
        <v>651</v>
      </c>
      <c r="D388" t="s">
        <v>1162</v>
      </c>
      <c r="E388" t="s">
        <v>92</v>
      </c>
      <c r="F388" t="str">
        <f>INDEX($I$3:$I$18,MATCH(jobcat19[[#This Row],[Pricing category ]],$H$3:$H$18,0),1)</f>
        <v xml:space="preserve">Professional Services </v>
      </c>
    </row>
    <row r="389" spans="1:6" x14ac:dyDescent="0.2">
      <c r="A389">
        <v>678</v>
      </c>
      <c r="B389" t="s">
        <v>1578</v>
      </c>
      <c r="C389" t="s">
        <v>656</v>
      </c>
      <c r="D389" t="s">
        <v>206</v>
      </c>
      <c r="E389" s="191" t="s">
        <v>953</v>
      </c>
      <c r="F389" t="str">
        <f>INDEX($I$3:$I$18,MATCH(jobcat19[[#This Row],[Pricing category ]],$H$3:$H$18,0),1)</f>
        <v>Technical Services</v>
      </c>
    </row>
    <row r="390" spans="1:6" x14ac:dyDescent="0.2">
      <c r="A390">
        <v>679</v>
      </c>
      <c r="B390" t="s">
        <v>1579</v>
      </c>
      <c r="C390" t="s">
        <v>670</v>
      </c>
      <c r="D390" t="s">
        <v>169</v>
      </c>
      <c r="E390" s="191" t="s">
        <v>372</v>
      </c>
      <c r="F390" t="str">
        <f>INDEX($I$3:$I$18,MATCH(jobcat19[[#This Row],[Pricing category ]],$H$3:$H$18,0),1)</f>
        <v>Technical Services</v>
      </c>
    </row>
    <row r="391" spans="1:6" x14ac:dyDescent="0.2">
      <c r="A391">
        <v>680</v>
      </c>
      <c r="B391" t="s">
        <v>1580</v>
      </c>
      <c r="C391" t="s">
        <v>665</v>
      </c>
      <c r="D391" t="s">
        <v>169</v>
      </c>
      <c r="E391" t="s">
        <v>372</v>
      </c>
      <c r="F391" t="str">
        <f>INDEX($I$3:$I$18,MATCH(jobcat19[[#This Row],[Pricing category ]],$H$3:$H$18,0),1)</f>
        <v>Technical Services</v>
      </c>
    </row>
    <row r="392" spans="1:6" hidden="1" x14ac:dyDescent="0.2">
      <c r="A392">
        <v>681</v>
      </c>
      <c r="B392" t="s">
        <v>1581</v>
      </c>
      <c r="C392" t="s">
        <v>1582</v>
      </c>
      <c r="D392" t="s">
        <v>118</v>
      </c>
      <c r="E392" t="s">
        <v>118</v>
      </c>
      <c r="F392" t="str">
        <f>INDEX($I$3:$I$18,MATCH(jobcat19[[#This Row],[Pricing category ]],$H$3:$H$18,0),1)</f>
        <v xml:space="preserve">Professional Services </v>
      </c>
    </row>
    <row r="393" spans="1:6" x14ac:dyDescent="0.2">
      <c r="A393">
        <v>682</v>
      </c>
      <c r="B393" t="s">
        <v>1583</v>
      </c>
      <c r="C393" t="s">
        <v>666</v>
      </c>
      <c r="D393" t="s">
        <v>169</v>
      </c>
      <c r="E393" t="s">
        <v>372</v>
      </c>
      <c r="F393" t="str">
        <f>INDEX($I$3:$I$18,MATCH(jobcat19[[#This Row],[Pricing category ]],$H$3:$H$18,0),1)</f>
        <v>Technical Services</v>
      </c>
    </row>
    <row r="394" spans="1:6" x14ac:dyDescent="0.2">
      <c r="A394">
        <v>683</v>
      </c>
      <c r="B394" t="s">
        <v>918</v>
      </c>
      <c r="C394" t="s">
        <v>672</v>
      </c>
      <c r="D394" t="s">
        <v>364</v>
      </c>
      <c r="E394" t="s">
        <v>964</v>
      </c>
      <c r="F394" t="str">
        <f>INDEX($I$3:$I$18,MATCH(jobcat19[[#This Row],[Pricing category ]],$H$3:$H$18,0),1)</f>
        <v>Technical Services</v>
      </c>
    </row>
    <row r="395" spans="1:6" hidden="1" x14ac:dyDescent="0.2">
      <c r="A395">
        <v>684</v>
      </c>
      <c r="B395" t="s">
        <v>1584</v>
      </c>
      <c r="C395" t="s">
        <v>658</v>
      </c>
      <c r="D395" t="s">
        <v>97</v>
      </c>
      <c r="E395" t="s">
        <v>347</v>
      </c>
      <c r="F395" t="str">
        <f>INDEX($I$3:$I$18,MATCH(jobcat19[[#This Row],[Pricing category ]],$H$3:$H$18,0),1)</f>
        <v xml:space="preserve">Professional Services </v>
      </c>
    </row>
    <row r="396" spans="1:6" x14ac:dyDescent="0.2">
      <c r="A396">
        <v>685</v>
      </c>
      <c r="B396" t="s">
        <v>1585</v>
      </c>
      <c r="C396" t="s">
        <v>677</v>
      </c>
      <c r="D396" t="s">
        <v>206</v>
      </c>
      <c r="E396" t="s">
        <v>953</v>
      </c>
      <c r="F396" t="str">
        <f>INDEX($I$3:$I$18,MATCH(jobcat19[[#This Row],[Pricing category ]],$H$3:$H$18,0),1)</f>
        <v>Technical Services</v>
      </c>
    </row>
    <row r="397" spans="1:6" x14ac:dyDescent="0.2">
      <c r="A397">
        <v>686</v>
      </c>
      <c r="B397" t="s">
        <v>1586</v>
      </c>
      <c r="C397" t="s">
        <v>683</v>
      </c>
      <c r="D397" t="s">
        <v>169</v>
      </c>
      <c r="E397" s="191" t="s">
        <v>372</v>
      </c>
      <c r="F397" t="str">
        <f>INDEX($I$3:$I$18,MATCH(jobcat19[[#This Row],[Pricing category ]],$H$3:$H$18,0),1)</f>
        <v>Technical Services</v>
      </c>
    </row>
    <row r="398" spans="1:6" x14ac:dyDescent="0.2">
      <c r="A398">
        <v>687</v>
      </c>
      <c r="B398" t="s">
        <v>1003</v>
      </c>
      <c r="C398" t="s">
        <v>300</v>
      </c>
      <c r="D398" t="s">
        <v>169</v>
      </c>
      <c r="E398" s="191" t="s">
        <v>948</v>
      </c>
      <c r="F398" t="str">
        <f>INDEX($I$3:$I$18,MATCH(jobcat19[[#This Row],[Pricing category ]],$H$3:$H$18,0),1)</f>
        <v>Technical Services</v>
      </c>
    </row>
    <row r="399" spans="1:6" x14ac:dyDescent="0.2">
      <c r="A399">
        <v>688</v>
      </c>
      <c r="B399" t="s">
        <v>1587</v>
      </c>
      <c r="C399" t="s">
        <v>679</v>
      </c>
      <c r="D399" t="s">
        <v>169</v>
      </c>
      <c r="E399" t="s">
        <v>372</v>
      </c>
      <c r="F399" t="str">
        <f>INDEX($I$3:$I$18,MATCH(jobcat19[[#This Row],[Pricing category ]],$H$3:$H$18,0),1)</f>
        <v>Technical Services</v>
      </c>
    </row>
    <row r="400" spans="1:6" x14ac:dyDescent="0.2">
      <c r="A400">
        <v>689</v>
      </c>
      <c r="B400" t="s">
        <v>1085</v>
      </c>
      <c r="C400" t="s">
        <v>686</v>
      </c>
      <c r="D400" t="s">
        <v>206</v>
      </c>
      <c r="E400" s="191" t="s">
        <v>953</v>
      </c>
      <c r="F400" t="str">
        <f>INDEX($I$3:$I$18,MATCH(jobcat19[[#This Row],[Pricing category ]],$H$3:$H$18,0),1)</f>
        <v>Technical Services</v>
      </c>
    </row>
    <row r="401" spans="1:6" hidden="1" x14ac:dyDescent="0.2">
      <c r="A401">
        <v>690</v>
      </c>
      <c r="B401" t="s">
        <v>1171</v>
      </c>
      <c r="C401" t="s">
        <v>688</v>
      </c>
      <c r="D401" t="s">
        <v>594</v>
      </c>
      <c r="E401" s="191" t="s">
        <v>118</v>
      </c>
      <c r="F401" t="str">
        <f>INDEX($I$3:$I$18,MATCH(jobcat19[[#This Row],[Pricing category ]],$H$3:$H$18,0),1)</f>
        <v xml:space="preserve">Professional Services </v>
      </c>
    </row>
    <row r="402" spans="1:6" x14ac:dyDescent="0.2">
      <c r="A402">
        <v>691</v>
      </c>
      <c r="B402" t="s">
        <v>1142</v>
      </c>
      <c r="C402" t="s">
        <v>690</v>
      </c>
      <c r="D402" t="s">
        <v>691</v>
      </c>
      <c r="E402" t="s">
        <v>948</v>
      </c>
      <c r="F402" t="str">
        <f>INDEX($I$3:$I$18,MATCH(jobcat19[[#This Row],[Pricing category ]],$H$3:$H$18,0),1)</f>
        <v>Technical Services</v>
      </c>
    </row>
    <row r="403" spans="1:6" hidden="1" x14ac:dyDescent="0.2">
      <c r="A403">
        <v>692</v>
      </c>
      <c r="B403" t="s">
        <v>1284</v>
      </c>
      <c r="C403" t="s">
        <v>693</v>
      </c>
      <c r="D403" t="s">
        <v>1588</v>
      </c>
      <c r="E403" s="191" t="s">
        <v>347</v>
      </c>
      <c r="F403" t="str">
        <f>INDEX($I$3:$I$18,MATCH(jobcat19[[#This Row],[Pricing category ]],$H$3:$H$18,0),1)</f>
        <v xml:space="preserve">Professional Services </v>
      </c>
    </row>
    <row r="404" spans="1:6" x14ac:dyDescent="0.2">
      <c r="A404">
        <v>693</v>
      </c>
      <c r="B404" t="s">
        <v>1589</v>
      </c>
      <c r="C404" t="s">
        <v>696</v>
      </c>
      <c r="D404" t="s">
        <v>169</v>
      </c>
      <c r="E404" t="s">
        <v>372</v>
      </c>
      <c r="F404" t="str">
        <f>INDEX($I$3:$I$18,MATCH(jobcat19[[#This Row],[Pricing category ]],$H$3:$H$18,0),1)</f>
        <v>Technical Services</v>
      </c>
    </row>
    <row r="405" spans="1:6" x14ac:dyDescent="0.2">
      <c r="A405">
        <v>694</v>
      </c>
      <c r="B405" t="s">
        <v>1590</v>
      </c>
      <c r="C405" t="s">
        <v>1591</v>
      </c>
      <c r="D405" t="s">
        <v>169</v>
      </c>
      <c r="E405" t="s">
        <v>372</v>
      </c>
      <c r="F405" t="str">
        <f>INDEX($I$3:$I$18,MATCH(jobcat19[[#This Row],[Pricing category ]],$H$3:$H$18,0),1)</f>
        <v>Technical Services</v>
      </c>
    </row>
    <row r="406" spans="1:6" hidden="1" x14ac:dyDescent="0.2">
      <c r="A406">
        <v>695</v>
      </c>
      <c r="B406" t="s">
        <v>1592</v>
      </c>
      <c r="C406" t="s">
        <v>698</v>
      </c>
      <c r="D406" t="s">
        <v>1593</v>
      </c>
      <c r="E406" t="s">
        <v>969</v>
      </c>
      <c r="F406" t="str">
        <f>INDEX($I$3:$I$18,MATCH(jobcat19[[#This Row],[Pricing category ]],$H$3:$H$18,0),1)</f>
        <v xml:space="preserve">Professional Services </v>
      </c>
    </row>
    <row r="407" spans="1:6" x14ac:dyDescent="0.2">
      <c r="A407">
        <v>696</v>
      </c>
      <c r="B407" t="s">
        <v>1594</v>
      </c>
      <c r="C407" t="s">
        <v>1018</v>
      </c>
      <c r="D407" t="s">
        <v>206</v>
      </c>
      <c r="E407" t="s">
        <v>953</v>
      </c>
      <c r="F407" t="str">
        <f>INDEX($I$3:$I$18,MATCH(jobcat19[[#This Row],[Pricing category ]],$H$3:$H$18,0),1)</f>
        <v>Technical Services</v>
      </c>
    </row>
    <row r="408" spans="1:6" x14ac:dyDescent="0.2">
      <c r="A408">
        <v>697</v>
      </c>
      <c r="B408" t="s">
        <v>1595</v>
      </c>
      <c r="C408" t="s">
        <v>713</v>
      </c>
      <c r="D408" t="s">
        <v>206</v>
      </c>
      <c r="E408" t="s">
        <v>953</v>
      </c>
      <c r="F408" t="str">
        <f>INDEX($I$3:$I$18,MATCH(jobcat19[[#This Row],[Pricing category ]],$H$3:$H$18,0),1)</f>
        <v>Technical Services</v>
      </c>
    </row>
    <row r="409" spans="1:6" x14ac:dyDescent="0.2">
      <c r="A409">
        <v>698</v>
      </c>
      <c r="B409" t="s">
        <v>1499</v>
      </c>
      <c r="C409" t="s">
        <v>714</v>
      </c>
      <c r="D409" t="s">
        <v>206</v>
      </c>
      <c r="E409" t="s">
        <v>953</v>
      </c>
      <c r="F409" t="str">
        <f>INDEX($I$3:$I$18,MATCH(jobcat19[[#This Row],[Pricing category ]],$H$3:$H$18,0),1)</f>
        <v>Technical Services</v>
      </c>
    </row>
    <row r="410" spans="1:6" x14ac:dyDescent="0.2">
      <c r="A410">
        <v>699</v>
      </c>
      <c r="B410" t="s">
        <v>1596</v>
      </c>
      <c r="C410" t="s">
        <v>705</v>
      </c>
      <c r="D410" t="s">
        <v>206</v>
      </c>
      <c r="E410" t="s">
        <v>953</v>
      </c>
      <c r="F410" t="str">
        <f>INDEX($I$3:$I$18,MATCH(jobcat19[[#This Row],[Pricing category ]],$H$3:$H$18,0),1)</f>
        <v>Technical Services</v>
      </c>
    </row>
    <row r="411" spans="1:6" x14ac:dyDescent="0.2">
      <c r="A411">
        <v>700</v>
      </c>
      <c r="B411" t="s">
        <v>1597</v>
      </c>
      <c r="C411" t="s">
        <v>1598</v>
      </c>
      <c r="D411" t="s">
        <v>206</v>
      </c>
      <c r="E411" t="s">
        <v>953</v>
      </c>
      <c r="F411" t="str">
        <f>INDEX($I$3:$I$18,MATCH(jobcat19[[#This Row],[Pricing category ]],$H$3:$H$18,0),1)</f>
        <v>Technical Services</v>
      </c>
    </row>
    <row r="412" spans="1:6" x14ac:dyDescent="0.2">
      <c r="A412">
        <v>701</v>
      </c>
      <c r="B412" t="s">
        <v>706</v>
      </c>
      <c r="C412" t="s">
        <v>1599</v>
      </c>
      <c r="D412" t="s">
        <v>708</v>
      </c>
      <c r="E412" t="s">
        <v>372</v>
      </c>
      <c r="F412" t="str">
        <f>INDEX($I$3:$I$18,MATCH(jobcat19[[#This Row],[Pricing category ]],$H$3:$H$18,0),1)</f>
        <v>Technical Services</v>
      </c>
    </row>
    <row r="413" spans="1:6" x14ac:dyDescent="0.2">
      <c r="A413">
        <v>702</v>
      </c>
      <c r="B413" t="s">
        <v>710</v>
      </c>
      <c r="C413" t="s">
        <v>1600</v>
      </c>
      <c r="D413" t="s">
        <v>372</v>
      </c>
      <c r="E413" s="191" t="s">
        <v>372</v>
      </c>
      <c r="F413" t="str">
        <f>INDEX($I$3:$I$18,MATCH(jobcat19[[#This Row],[Pricing category ]],$H$3:$H$18,0),1)</f>
        <v>Technical Services</v>
      </c>
    </row>
    <row r="414" spans="1:6" hidden="1" x14ac:dyDescent="0.2">
      <c r="A414">
        <v>703</v>
      </c>
      <c r="B414" t="s">
        <v>268</v>
      </c>
      <c r="C414" t="s">
        <v>1601</v>
      </c>
      <c r="D414" t="s">
        <v>1602</v>
      </c>
      <c r="E414" t="s">
        <v>92</v>
      </c>
      <c r="F414" t="str">
        <f>INDEX($I$3:$I$18,MATCH(jobcat19[[#This Row],[Pricing category ]],$H$3:$H$18,0),1)</f>
        <v xml:space="preserve">Professional Services </v>
      </c>
    </row>
    <row r="415" spans="1:6" x14ac:dyDescent="0.2">
      <c r="A415">
        <v>704</v>
      </c>
      <c r="B415" t="s">
        <v>717</v>
      </c>
      <c r="C415" t="s">
        <v>1603</v>
      </c>
      <c r="D415" t="s">
        <v>372</v>
      </c>
      <c r="E415" t="s">
        <v>372</v>
      </c>
      <c r="F415" t="str">
        <f>INDEX($I$3:$I$18,MATCH(jobcat19[[#This Row],[Pricing category ]],$H$3:$H$18,0),1)</f>
        <v>Technical Services</v>
      </c>
    </row>
    <row r="416" spans="1:6" x14ac:dyDescent="0.2">
      <c r="A416">
        <v>705</v>
      </c>
      <c r="B416" t="s">
        <v>1604</v>
      </c>
      <c r="C416" t="s">
        <v>716</v>
      </c>
      <c r="D416" t="s">
        <v>169</v>
      </c>
      <c r="E416" t="s">
        <v>372</v>
      </c>
      <c r="F416" t="str">
        <f>INDEX($I$3:$I$18,MATCH(jobcat19[[#This Row],[Pricing category ]],$H$3:$H$18,0),1)</f>
        <v>Technical Services</v>
      </c>
    </row>
    <row r="417" spans="1:6" x14ac:dyDescent="0.2">
      <c r="A417">
        <v>706</v>
      </c>
      <c r="B417" t="s">
        <v>719</v>
      </c>
      <c r="C417" t="s">
        <v>1314</v>
      </c>
      <c r="D417" t="s">
        <v>206</v>
      </c>
      <c r="E417" s="191" t="s">
        <v>953</v>
      </c>
      <c r="F417" t="str">
        <f>INDEX($I$3:$I$18,MATCH(jobcat19[[#This Row],[Pricing category ]],$H$3:$H$18,0),1)</f>
        <v>Technical Services</v>
      </c>
    </row>
    <row r="418" spans="1:6" x14ac:dyDescent="0.2">
      <c r="A418">
        <v>707</v>
      </c>
      <c r="B418" t="s">
        <v>721</v>
      </c>
      <c r="C418" t="s">
        <v>1605</v>
      </c>
      <c r="D418" t="s">
        <v>169</v>
      </c>
      <c r="E418" t="s">
        <v>372</v>
      </c>
      <c r="F418" t="str">
        <f>INDEX($I$3:$I$18,MATCH(jobcat19[[#This Row],[Pricing category ]],$H$3:$H$18,0),1)</f>
        <v>Technical Services</v>
      </c>
    </row>
    <row r="419" spans="1:6" hidden="1" x14ac:dyDescent="0.2">
      <c r="A419">
        <v>708</v>
      </c>
      <c r="B419" t="s">
        <v>1606</v>
      </c>
      <c r="C419" t="s">
        <v>731</v>
      </c>
      <c r="D419" t="s">
        <v>1607</v>
      </c>
      <c r="E419" s="191" t="s">
        <v>347</v>
      </c>
      <c r="F419" t="str">
        <f>INDEX($I$3:$I$18,MATCH(jobcat19[[#This Row],[Pricing category ]],$H$3:$H$18,0),1)</f>
        <v xml:space="preserve">Professional Services </v>
      </c>
    </row>
    <row r="420" spans="1:6" hidden="1" x14ac:dyDescent="0.2">
      <c r="A420">
        <v>709</v>
      </c>
      <c r="B420" t="s">
        <v>1608</v>
      </c>
      <c r="C420" t="s">
        <v>560</v>
      </c>
      <c r="D420" t="s">
        <v>724</v>
      </c>
      <c r="E420" t="s">
        <v>92</v>
      </c>
      <c r="F420" t="str">
        <f>INDEX($I$3:$I$18,MATCH(jobcat19[[#This Row],[Pricing category ]],$H$3:$H$18,0),1)</f>
        <v xml:space="preserve">Professional Services </v>
      </c>
    </row>
    <row r="421" spans="1:6" hidden="1" x14ac:dyDescent="0.2">
      <c r="A421">
        <v>713</v>
      </c>
      <c r="B421" t="s">
        <v>1207</v>
      </c>
      <c r="C421" t="s">
        <v>726</v>
      </c>
      <c r="D421" t="s">
        <v>1609</v>
      </c>
      <c r="E421" t="s">
        <v>92</v>
      </c>
      <c r="F421" t="str">
        <f>INDEX($I$3:$I$18,MATCH(jobcat19[[#This Row],[Pricing category ]],$H$3:$H$18,0),1)</f>
        <v xml:space="preserve">Professional Services </v>
      </c>
    </row>
    <row r="422" spans="1:6" hidden="1" x14ac:dyDescent="0.2">
      <c r="A422">
        <v>714</v>
      </c>
      <c r="B422" t="s">
        <v>733</v>
      </c>
      <c r="C422" t="s">
        <v>734</v>
      </c>
      <c r="D422" t="s">
        <v>464</v>
      </c>
      <c r="E422" t="s">
        <v>464</v>
      </c>
      <c r="F422" t="str">
        <f>INDEX($I$3:$I$18,MATCH(jobcat19[[#This Row],[Pricing category ]],$H$3:$H$18,0),1)</f>
        <v xml:space="preserve">Professional Services </v>
      </c>
    </row>
    <row r="423" spans="1:6" x14ac:dyDescent="0.2">
      <c r="A423">
        <v>715</v>
      </c>
      <c r="B423" t="s">
        <v>735</v>
      </c>
      <c r="C423" t="s">
        <v>736</v>
      </c>
      <c r="D423" t="s">
        <v>1610</v>
      </c>
      <c r="E423" t="s">
        <v>964</v>
      </c>
      <c r="F423" t="str">
        <f>INDEX($I$3:$I$18,MATCH(jobcat19[[#This Row],[Pricing category ]],$H$3:$H$18,0),1)</f>
        <v>Technical Services</v>
      </c>
    </row>
    <row r="424" spans="1:6" hidden="1" x14ac:dyDescent="0.2">
      <c r="A424">
        <v>716</v>
      </c>
      <c r="B424" t="s">
        <v>738</v>
      </c>
      <c r="C424" t="s">
        <v>1405</v>
      </c>
      <c r="D424" t="s">
        <v>464</v>
      </c>
      <c r="E424" t="s">
        <v>464</v>
      </c>
      <c r="F424" t="str">
        <f>INDEX($I$3:$I$18,MATCH(jobcat19[[#This Row],[Pricing category ]],$H$3:$H$18,0),1)</f>
        <v xml:space="preserve">Professional Services </v>
      </c>
    </row>
    <row r="425" spans="1:6" x14ac:dyDescent="0.2">
      <c r="A425">
        <v>717</v>
      </c>
      <c r="B425" t="s">
        <v>740</v>
      </c>
      <c r="C425" t="s">
        <v>1611</v>
      </c>
      <c r="D425" t="s">
        <v>742</v>
      </c>
      <c r="E425" t="s">
        <v>964</v>
      </c>
      <c r="F425" t="str">
        <f>INDEX($I$3:$I$18,MATCH(jobcat19[[#This Row],[Pricing category ]],$H$3:$H$18,0),1)</f>
        <v>Technical Services</v>
      </c>
    </row>
    <row r="426" spans="1:6" hidden="1" x14ac:dyDescent="0.2">
      <c r="A426">
        <v>721</v>
      </c>
      <c r="B426" t="s">
        <v>743</v>
      </c>
      <c r="C426" t="s">
        <v>1111</v>
      </c>
      <c r="D426" t="s">
        <v>1612</v>
      </c>
      <c r="E426" t="s">
        <v>956</v>
      </c>
      <c r="F426" t="str">
        <f>INDEX($I$3:$I$18,MATCH(jobcat19[[#This Row],[Pricing category ]],$H$3:$H$18,0),1)</f>
        <v xml:space="preserve">Professional Services </v>
      </c>
    </row>
    <row r="427" spans="1:6" hidden="1" x14ac:dyDescent="0.2">
      <c r="A427">
        <v>722</v>
      </c>
      <c r="B427" t="s">
        <v>747</v>
      </c>
      <c r="C427" t="s">
        <v>1009</v>
      </c>
      <c r="D427" t="s">
        <v>464</v>
      </c>
      <c r="E427" t="s">
        <v>464</v>
      </c>
      <c r="F427" t="str">
        <f>INDEX($I$3:$I$18,MATCH(jobcat19[[#This Row],[Pricing category ]],$H$3:$H$18,0),1)</f>
        <v xml:space="preserve">Professional Services </v>
      </c>
    </row>
    <row r="428" spans="1:6" x14ac:dyDescent="0.2">
      <c r="A428">
        <v>723</v>
      </c>
      <c r="B428" t="s">
        <v>749</v>
      </c>
      <c r="C428" t="s">
        <v>750</v>
      </c>
      <c r="D428" t="s">
        <v>169</v>
      </c>
      <c r="E428" t="s">
        <v>372</v>
      </c>
      <c r="F428" t="str">
        <f>INDEX($I$3:$I$18,MATCH(jobcat19[[#This Row],[Pricing category ]],$H$3:$H$18,0),1)</f>
        <v>Technical Services</v>
      </c>
    </row>
    <row r="429" spans="1:6" hidden="1" x14ac:dyDescent="0.2">
      <c r="A429">
        <v>724</v>
      </c>
      <c r="B429" t="s">
        <v>751</v>
      </c>
      <c r="C429" t="s">
        <v>1613</v>
      </c>
      <c r="D429" t="s">
        <v>173</v>
      </c>
      <c r="E429" t="s">
        <v>347</v>
      </c>
      <c r="F429" t="str">
        <f>INDEX($I$3:$I$18,MATCH(jobcat19[[#This Row],[Pricing category ]],$H$3:$H$18,0),1)</f>
        <v xml:space="preserve">Professional Services </v>
      </c>
    </row>
    <row r="430" spans="1:6" x14ac:dyDescent="0.2">
      <c r="A430">
        <v>725</v>
      </c>
      <c r="B430" t="s">
        <v>753</v>
      </c>
      <c r="C430" t="s">
        <v>1397</v>
      </c>
      <c r="D430" t="s">
        <v>1614</v>
      </c>
      <c r="E430" t="s">
        <v>964</v>
      </c>
      <c r="F430" t="str">
        <f>INDEX($I$3:$I$18,MATCH(jobcat19[[#This Row],[Pricing category ]],$H$3:$H$18,0),1)</f>
        <v>Technical Services</v>
      </c>
    </row>
    <row r="431" spans="1:6" x14ac:dyDescent="0.2">
      <c r="A431">
        <v>726</v>
      </c>
      <c r="B431" t="s">
        <v>755</v>
      </c>
      <c r="C431" t="s">
        <v>756</v>
      </c>
      <c r="D431" t="s">
        <v>757</v>
      </c>
      <c r="E431" t="s">
        <v>953</v>
      </c>
      <c r="F431" t="str">
        <f>INDEX($I$3:$I$18,MATCH(jobcat19[[#This Row],[Pricing category ]],$H$3:$H$18,0),1)</f>
        <v>Technical Services</v>
      </c>
    </row>
    <row r="432" spans="1:6" x14ac:dyDescent="0.2">
      <c r="A432">
        <v>727</v>
      </c>
      <c r="B432" t="s">
        <v>761</v>
      </c>
      <c r="C432" t="s">
        <v>504</v>
      </c>
      <c r="D432" t="s">
        <v>169</v>
      </c>
      <c r="E432" t="s">
        <v>372</v>
      </c>
      <c r="F432" t="str">
        <f>INDEX($I$3:$I$18,MATCH(jobcat19[[#This Row],[Pricing category ]],$H$3:$H$18,0),1)</f>
        <v>Technical Services</v>
      </c>
    </row>
    <row r="433" spans="1:6" x14ac:dyDescent="0.2">
      <c r="A433">
        <v>729</v>
      </c>
      <c r="B433" t="s">
        <v>759</v>
      </c>
      <c r="C433" t="s">
        <v>760</v>
      </c>
      <c r="D433" t="s">
        <v>274</v>
      </c>
      <c r="E433" t="s">
        <v>277</v>
      </c>
      <c r="F433" t="str">
        <f>INDEX($I$3:$I$18,MATCH(jobcat19[[#This Row],[Pricing category ]],$H$3:$H$18,0),1)</f>
        <v>Technical Services</v>
      </c>
    </row>
    <row r="434" spans="1:6" hidden="1" x14ac:dyDescent="0.2">
      <c r="A434">
        <v>730</v>
      </c>
      <c r="B434" t="s">
        <v>762</v>
      </c>
      <c r="C434" t="s">
        <v>763</v>
      </c>
      <c r="D434" t="s">
        <v>1615</v>
      </c>
      <c r="E434" t="s">
        <v>960</v>
      </c>
      <c r="F434" t="str">
        <f>INDEX($I$3:$I$18,MATCH(jobcat19[[#This Row],[Pricing category ]],$H$3:$H$18,0),1)</f>
        <v xml:space="preserve">Professional Services </v>
      </c>
    </row>
    <row r="435" spans="1:6" hidden="1" x14ac:dyDescent="0.2">
      <c r="A435">
        <v>741</v>
      </c>
      <c r="B435" t="s">
        <v>765</v>
      </c>
      <c r="C435" t="s">
        <v>766</v>
      </c>
      <c r="D435" t="s">
        <v>1616</v>
      </c>
      <c r="E435" t="s">
        <v>347</v>
      </c>
      <c r="F435" t="str">
        <f>INDEX($I$3:$I$18,MATCH(jobcat19[[#This Row],[Pricing category ]],$H$3:$H$18,0),1)</f>
        <v xml:space="preserve">Professional Services </v>
      </c>
    </row>
    <row r="436" spans="1:6" hidden="1" x14ac:dyDescent="0.2">
      <c r="A436">
        <v>742</v>
      </c>
      <c r="B436" t="s">
        <v>768</v>
      </c>
      <c r="C436" t="s">
        <v>470</v>
      </c>
      <c r="D436" t="s">
        <v>769</v>
      </c>
      <c r="E436" t="s">
        <v>92</v>
      </c>
      <c r="F436" t="str">
        <f>INDEX($I$3:$I$18,MATCH(jobcat19[[#This Row],[Pricing category ]],$H$3:$H$18,0),1)</f>
        <v xml:space="preserve">Professional Services </v>
      </c>
    </row>
    <row r="437" spans="1:6" hidden="1" x14ac:dyDescent="0.2">
      <c r="A437">
        <v>743</v>
      </c>
      <c r="B437" t="s">
        <v>770</v>
      </c>
      <c r="C437" t="s">
        <v>1617</v>
      </c>
      <c r="D437" t="s">
        <v>1618</v>
      </c>
      <c r="E437" t="s">
        <v>92</v>
      </c>
      <c r="F437" t="str">
        <f>INDEX($I$3:$I$18,MATCH(jobcat19[[#This Row],[Pricing category ]],$H$3:$H$18,0),1)</f>
        <v xml:space="preserve">Professional Services </v>
      </c>
    </row>
    <row r="438" spans="1:6" x14ac:dyDescent="0.2">
      <c r="A438">
        <v>744</v>
      </c>
      <c r="B438" t="s">
        <v>674</v>
      </c>
      <c r="C438" t="s">
        <v>675</v>
      </c>
      <c r="D438" t="s">
        <v>169</v>
      </c>
      <c r="E438" t="s">
        <v>372</v>
      </c>
      <c r="F438" t="str">
        <f>INDEX($I$3:$I$18,MATCH(jobcat19[[#This Row],[Pricing category ]],$H$3:$H$18,0),1)</f>
        <v>Technical Services</v>
      </c>
    </row>
    <row r="439" spans="1:6" hidden="1" x14ac:dyDescent="0.2">
      <c r="A439">
        <v>745</v>
      </c>
      <c r="B439" t="s">
        <v>773</v>
      </c>
      <c r="C439" t="s">
        <v>774</v>
      </c>
      <c r="D439" t="s">
        <v>1619</v>
      </c>
      <c r="E439" t="s">
        <v>92</v>
      </c>
      <c r="F439" t="str">
        <f>INDEX($I$3:$I$18,MATCH(jobcat19[[#This Row],[Pricing category ]],$H$3:$H$18,0),1)</f>
        <v xml:space="preserve">Professional Services </v>
      </c>
    </row>
    <row r="440" spans="1:6" x14ac:dyDescent="0.2">
      <c r="A440">
        <v>746</v>
      </c>
      <c r="B440" t="s">
        <v>781</v>
      </c>
      <c r="C440" t="s">
        <v>1620</v>
      </c>
      <c r="D440" t="s">
        <v>783</v>
      </c>
      <c r="E440" t="s">
        <v>953</v>
      </c>
      <c r="F440" t="str">
        <f>INDEX($I$3:$I$18,MATCH(jobcat19[[#This Row],[Pricing category ]],$H$3:$H$18,0),1)</f>
        <v>Technical Services</v>
      </c>
    </row>
    <row r="441" spans="1:6" hidden="1" x14ac:dyDescent="0.2">
      <c r="A441">
        <v>747</v>
      </c>
      <c r="B441" t="s">
        <v>777</v>
      </c>
      <c r="C441" t="s">
        <v>778</v>
      </c>
      <c r="D441" t="s">
        <v>114</v>
      </c>
      <c r="E441" t="s">
        <v>92</v>
      </c>
      <c r="F441" t="str">
        <f>INDEX($I$3:$I$18,MATCH(jobcat19[[#This Row],[Pricing category ]],$H$3:$H$18,0),1)</f>
        <v xml:space="preserve">Professional Services </v>
      </c>
    </row>
    <row r="442" spans="1:6" x14ac:dyDescent="0.2">
      <c r="A442">
        <v>748</v>
      </c>
      <c r="B442" t="s">
        <v>784</v>
      </c>
      <c r="C442" t="s">
        <v>255</v>
      </c>
      <c r="D442" t="s">
        <v>1246</v>
      </c>
      <c r="E442" t="s">
        <v>372</v>
      </c>
      <c r="F442" t="str">
        <f>INDEX($I$3:$I$18,MATCH(jobcat19[[#This Row],[Pricing category ]],$H$3:$H$18,0),1)</f>
        <v>Technical Services</v>
      </c>
    </row>
    <row r="443" spans="1:6" x14ac:dyDescent="0.2">
      <c r="A443">
        <v>749</v>
      </c>
      <c r="B443" t="s">
        <v>795</v>
      </c>
      <c r="C443" t="s">
        <v>796</v>
      </c>
      <c r="D443" t="s">
        <v>1246</v>
      </c>
      <c r="E443" t="s">
        <v>372</v>
      </c>
      <c r="F443" t="str">
        <f>INDEX($I$3:$I$18,MATCH(jobcat19[[#This Row],[Pricing category ]],$H$3:$H$18,0),1)</f>
        <v>Technical Services</v>
      </c>
    </row>
    <row r="444" spans="1:6" hidden="1" x14ac:dyDescent="0.2">
      <c r="A444">
        <v>750</v>
      </c>
      <c r="B444" t="s">
        <v>787</v>
      </c>
      <c r="C444" t="s">
        <v>788</v>
      </c>
      <c r="D444" t="s">
        <v>789</v>
      </c>
      <c r="E444" t="s">
        <v>92</v>
      </c>
      <c r="F444" t="str">
        <f>INDEX($I$3:$I$18,MATCH(jobcat19[[#This Row],[Pricing category ]],$H$3:$H$18,0),1)</f>
        <v xml:space="preserve">Professional Services </v>
      </c>
    </row>
    <row r="445" spans="1:6" hidden="1" x14ac:dyDescent="0.2">
      <c r="A445">
        <v>751</v>
      </c>
      <c r="B445" t="s">
        <v>791</v>
      </c>
      <c r="C445" t="s">
        <v>792</v>
      </c>
      <c r="D445" t="s">
        <v>793</v>
      </c>
      <c r="E445" t="s">
        <v>960</v>
      </c>
      <c r="F445" t="str">
        <f>INDEX($I$3:$I$18,MATCH(jobcat19[[#This Row],[Pricing category ]],$H$3:$H$18,0),1)</f>
        <v xml:space="preserve">Professional Services </v>
      </c>
    </row>
    <row r="446" spans="1:6" hidden="1" x14ac:dyDescent="0.2">
      <c r="A446">
        <v>752</v>
      </c>
      <c r="B446" t="s">
        <v>798</v>
      </c>
      <c r="C446" t="s">
        <v>799</v>
      </c>
      <c r="D446" t="s">
        <v>185</v>
      </c>
      <c r="E446" t="s">
        <v>92</v>
      </c>
      <c r="F446" t="str">
        <f>INDEX($I$3:$I$18,MATCH(jobcat19[[#This Row],[Pricing category ]],$H$3:$H$18,0),1)</f>
        <v xml:space="preserve">Professional Services </v>
      </c>
    </row>
    <row r="447" spans="1:6" x14ac:dyDescent="0.2">
      <c r="A447">
        <v>753</v>
      </c>
      <c r="B447" t="s">
        <v>1621</v>
      </c>
      <c r="C447" t="s">
        <v>1622</v>
      </c>
      <c r="D447" t="s">
        <v>372</v>
      </c>
      <c r="E447" t="s">
        <v>372</v>
      </c>
      <c r="F447" t="str">
        <f>INDEX($I$3:$I$18,MATCH(jobcat19[[#This Row],[Pricing category ]],$H$3:$H$18,0),1)</f>
        <v>Technical Services</v>
      </c>
    </row>
    <row r="448" spans="1:6" x14ac:dyDescent="0.2">
      <c r="A448">
        <v>754</v>
      </c>
      <c r="B448" t="s">
        <v>1623</v>
      </c>
      <c r="C448" t="s">
        <v>801</v>
      </c>
      <c r="D448" t="s">
        <v>169</v>
      </c>
      <c r="E448" t="s">
        <v>372</v>
      </c>
      <c r="F448" t="str">
        <f>INDEX($I$3:$I$18,MATCH(jobcat19[[#This Row],[Pricing category ]],$H$3:$H$18,0),1)</f>
        <v>Technical Services</v>
      </c>
    </row>
    <row r="449" spans="1:6" hidden="1" x14ac:dyDescent="0.2">
      <c r="A449">
        <v>755</v>
      </c>
      <c r="B449" t="s">
        <v>812</v>
      </c>
      <c r="C449" t="s">
        <v>813</v>
      </c>
      <c r="D449" t="s">
        <v>814</v>
      </c>
      <c r="F449" t="e">
        <f>INDEX($I$3:$I$18,MATCH(jobcat19[[#This Row],[Pricing category ]],$H$3:$H$18,0),1)</f>
        <v>#N/A</v>
      </c>
    </row>
    <row r="450" spans="1:6" hidden="1" x14ac:dyDescent="0.2">
      <c r="A450">
        <v>756</v>
      </c>
      <c r="B450" t="s">
        <v>806</v>
      </c>
      <c r="C450" t="s">
        <v>807</v>
      </c>
      <c r="D450" t="s">
        <v>318</v>
      </c>
      <c r="F450" t="e">
        <f>INDEX($I$3:$I$18,MATCH(jobcat19[[#This Row],[Pricing category ]],$H$3:$H$18,0),1)</f>
        <v>#N/A</v>
      </c>
    </row>
    <row r="451" spans="1:6" hidden="1" x14ac:dyDescent="0.2">
      <c r="A451">
        <v>757</v>
      </c>
      <c r="B451" t="s">
        <v>802</v>
      </c>
      <c r="C451" t="s">
        <v>803</v>
      </c>
      <c r="D451" t="s">
        <v>114</v>
      </c>
      <c r="F451" t="e">
        <f>INDEX($I$3:$I$18,MATCH(jobcat19[[#This Row],[Pricing category ]],$H$3:$H$18,0),1)</f>
        <v>#N/A</v>
      </c>
    </row>
    <row r="452" spans="1:6" hidden="1" x14ac:dyDescent="0.2">
      <c r="A452">
        <v>758</v>
      </c>
      <c r="B452" t="s">
        <v>837</v>
      </c>
      <c r="C452" t="s">
        <v>307</v>
      </c>
      <c r="D452" t="s">
        <v>838</v>
      </c>
      <c r="F452" t="e">
        <f>INDEX($I$3:$I$18,MATCH(jobcat19[[#This Row],[Pricing category ]],$H$3:$H$18,0),1)</f>
        <v>#N/A</v>
      </c>
    </row>
    <row r="453" spans="1:6" hidden="1" x14ac:dyDescent="0.2">
      <c r="A453">
        <v>759</v>
      </c>
      <c r="B453" t="s">
        <v>1577</v>
      </c>
      <c r="C453" t="s">
        <v>809</v>
      </c>
      <c r="D453" t="s">
        <v>114</v>
      </c>
      <c r="F453" t="e">
        <f>INDEX($I$3:$I$18,MATCH(jobcat19[[#This Row],[Pricing category ]],$H$3:$H$18,0),1)</f>
        <v>#N/A</v>
      </c>
    </row>
    <row r="454" spans="1:6" hidden="1" x14ac:dyDescent="0.2">
      <c r="A454">
        <v>766</v>
      </c>
      <c r="B454" t="s">
        <v>815</v>
      </c>
      <c r="C454" t="s">
        <v>816</v>
      </c>
      <c r="D454" t="s">
        <v>169</v>
      </c>
      <c r="F454" t="e">
        <f>INDEX($I$3:$I$18,MATCH(jobcat19[[#This Row],[Pricing category ]],$H$3:$H$18,0),1)</f>
        <v>#N/A</v>
      </c>
    </row>
    <row r="455" spans="1:6" x14ac:dyDescent="0.2">
      <c r="A455">
        <v>767</v>
      </c>
      <c r="B455" t="s">
        <v>765</v>
      </c>
      <c r="C455" t="s">
        <v>817</v>
      </c>
      <c r="D455" t="s">
        <v>114</v>
      </c>
      <c r="E455" t="s">
        <v>372</v>
      </c>
      <c r="F455" t="str">
        <f>INDEX($I$3:$I$18,MATCH(jobcat19[[#This Row],[Pricing category ]],$H$3:$H$18,0),1)</f>
        <v>Technical Services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F1EC-6D63-4032-B6C2-2DAE5613D9D4}">
  <dimension ref="A1:T65"/>
  <sheetViews>
    <sheetView workbookViewId="0"/>
  </sheetViews>
  <sheetFormatPr defaultRowHeight="12.75" x14ac:dyDescent="0.2"/>
  <cols>
    <col min="1" max="1" width="29.7109375" bestFit="1" customWidth="1"/>
    <col min="2" max="2" width="20.85546875" bestFit="1" customWidth="1"/>
  </cols>
  <sheetData>
    <row r="1" spans="1:20" x14ac:dyDescent="0.2">
      <c r="A1" t="s">
        <v>1624</v>
      </c>
    </row>
    <row r="2" spans="1:20" x14ac:dyDescent="0.2">
      <c r="A2" t="s">
        <v>1625</v>
      </c>
    </row>
    <row r="3" spans="1:20" x14ac:dyDescent="0.2">
      <c r="A3" s="181" t="s">
        <v>1626</v>
      </c>
    </row>
    <row r="4" spans="1:20" x14ac:dyDescent="0.2">
      <c r="A4" s="158" t="s">
        <v>83</v>
      </c>
      <c r="B4" t="s">
        <v>84</v>
      </c>
    </row>
    <row r="5" spans="1:20" x14ac:dyDescent="0.2">
      <c r="A5" s="158" t="s">
        <v>130</v>
      </c>
      <c r="B5" t="s">
        <v>1627</v>
      </c>
    </row>
    <row r="7" spans="1:20" x14ac:dyDescent="0.2">
      <c r="A7" s="158" t="s">
        <v>90</v>
      </c>
      <c r="B7" t="s">
        <v>87</v>
      </c>
      <c r="S7" t="s">
        <v>1628</v>
      </c>
      <c r="T7" t="s">
        <v>1629</v>
      </c>
    </row>
    <row r="8" spans="1:20" x14ac:dyDescent="0.2">
      <c r="A8" s="159" t="s">
        <v>61</v>
      </c>
      <c r="B8">
        <v>39</v>
      </c>
      <c r="S8" s="186">
        <v>8</v>
      </c>
      <c r="T8" s="186">
        <f>S8/GETPIVOTDATA("Employee ID",$A$7,"Current Region","Americas")</f>
        <v>0.20512820512820512</v>
      </c>
    </row>
    <row r="9" spans="1:20" x14ac:dyDescent="0.2">
      <c r="A9" s="160" t="s">
        <v>343</v>
      </c>
      <c r="B9">
        <v>4</v>
      </c>
      <c r="T9" s="186"/>
    </row>
    <row r="10" spans="1:20" x14ac:dyDescent="0.2">
      <c r="A10" s="160" t="s">
        <v>175</v>
      </c>
      <c r="B10">
        <v>14</v>
      </c>
      <c r="S10">
        <v>3</v>
      </c>
      <c r="T10" s="186">
        <f>S10/GETPIVOTDATA("Employee ID",$A$7,"Current Region","Americas","Current project/team - primary","Belize")</f>
        <v>0.21428571428571427</v>
      </c>
    </row>
    <row r="11" spans="1:20" x14ac:dyDescent="0.2">
      <c r="A11" s="160" t="s">
        <v>249</v>
      </c>
      <c r="B11">
        <v>11</v>
      </c>
      <c r="S11">
        <v>4</v>
      </c>
      <c r="T11" s="186">
        <f>S11/GETPIVOTDATA("Employee ID",$A$7,"Current Region","Americas","Current project/team - primary","Guyana")</f>
        <v>0.36363636363636365</v>
      </c>
    </row>
    <row r="12" spans="1:20" x14ac:dyDescent="0.2">
      <c r="A12" s="160" t="s">
        <v>647</v>
      </c>
      <c r="B12">
        <v>1</v>
      </c>
      <c r="S12">
        <v>1</v>
      </c>
      <c r="T12" s="186">
        <f>S12/GETPIVOTDATA("Employee ID",$A$7,"Current Region","Americas","Current project/team - primary","Support")</f>
        <v>1</v>
      </c>
    </row>
    <row r="13" spans="1:20" x14ac:dyDescent="0.2">
      <c r="A13" s="160" t="s">
        <v>419</v>
      </c>
      <c r="B13">
        <v>1</v>
      </c>
      <c r="T13" s="186"/>
    </row>
    <row r="14" spans="1:20" x14ac:dyDescent="0.2">
      <c r="A14" s="160" t="s">
        <v>302</v>
      </c>
      <c r="B14">
        <v>1</v>
      </c>
      <c r="T14" s="186"/>
    </row>
    <row r="15" spans="1:20" x14ac:dyDescent="0.2">
      <c r="A15" s="160" t="s">
        <v>84</v>
      </c>
      <c r="B15">
        <v>3</v>
      </c>
      <c r="S15" s="186">
        <v>3</v>
      </c>
      <c r="T15" s="186">
        <f>S15/GETPIVOTDATA("Employee ID",$A$7,"Current Region","Asia Pacific")</f>
        <v>0.17647058823529413</v>
      </c>
    </row>
    <row r="16" spans="1:20" x14ac:dyDescent="0.2">
      <c r="A16" s="160" t="s">
        <v>380</v>
      </c>
      <c r="B16">
        <v>4</v>
      </c>
      <c r="T16" s="186"/>
    </row>
    <row r="17" spans="1:20" x14ac:dyDescent="0.2">
      <c r="A17" s="159" t="s">
        <v>59</v>
      </c>
      <c r="B17">
        <v>17</v>
      </c>
      <c r="T17" s="186"/>
    </row>
    <row r="18" spans="1:20" x14ac:dyDescent="0.2">
      <c r="A18" s="160" t="s">
        <v>647</v>
      </c>
      <c r="B18">
        <v>1</v>
      </c>
      <c r="T18" s="186"/>
    </row>
    <row r="19" spans="1:20" x14ac:dyDescent="0.2">
      <c r="A19" s="160" t="s">
        <v>302</v>
      </c>
      <c r="B19">
        <v>1</v>
      </c>
      <c r="T19" s="186"/>
    </row>
    <row r="20" spans="1:20" hidden="1" x14ac:dyDescent="0.2">
      <c r="A20" s="160" t="s">
        <v>268</v>
      </c>
      <c r="B20">
        <v>9</v>
      </c>
      <c r="T20" s="186">
        <f t="shared" ref="T20:T32" si="0">S20/GETPIVOTDATA("Employee ID",$A$7,"Current Region","Americas")</f>
        <v>0</v>
      </c>
    </row>
    <row r="21" spans="1:20" hidden="1" x14ac:dyDescent="0.2">
      <c r="A21" s="160" t="s">
        <v>60</v>
      </c>
      <c r="B21">
        <v>1</v>
      </c>
      <c r="T21" s="186">
        <f t="shared" si="0"/>
        <v>0</v>
      </c>
    </row>
    <row r="22" spans="1:20" hidden="1" x14ac:dyDescent="0.2">
      <c r="A22" s="160" t="s">
        <v>297</v>
      </c>
      <c r="B22">
        <v>5</v>
      </c>
      <c r="T22" s="186">
        <f t="shared" si="0"/>
        <v>0</v>
      </c>
    </row>
    <row r="23" spans="1:20" hidden="1" x14ac:dyDescent="0.2">
      <c r="A23" s="159" t="s">
        <v>62</v>
      </c>
      <c r="B23">
        <v>4</v>
      </c>
      <c r="T23" s="186">
        <f t="shared" si="0"/>
        <v>0</v>
      </c>
    </row>
    <row r="24" spans="1:20" hidden="1" x14ac:dyDescent="0.2">
      <c r="A24" s="160" t="s">
        <v>277</v>
      </c>
      <c r="B24">
        <v>4</v>
      </c>
      <c r="T24" s="186">
        <f t="shared" si="0"/>
        <v>0</v>
      </c>
    </row>
    <row r="25" spans="1:20" hidden="1" x14ac:dyDescent="0.2">
      <c r="A25" s="159" t="s">
        <v>46</v>
      </c>
      <c r="B25">
        <v>40</v>
      </c>
      <c r="T25" s="186">
        <f t="shared" si="0"/>
        <v>0</v>
      </c>
    </row>
    <row r="26" spans="1:20" hidden="1" x14ac:dyDescent="0.2">
      <c r="A26" s="160" t="s">
        <v>388</v>
      </c>
      <c r="B26">
        <v>4</v>
      </c>
      <c r="T26" s="186">
        <f t="shared" si="0"/>
        <v>0</v>
      </c>
    </row>
    <row r="27" spans="1:20" hidden="1" x14ac:dyDescent="0.2">
      <c r="A27" s="160" t="s">
        <v>60</v>
      </c>
      <c r="B27">
        <v>1</v>
      </c>
      <c r="T27" s="186">
        <f t="shared" si="0"/>
        <v>0</v>
      </c>
    </row>
    <row r="28" spans="1:20" hidden="1" x14ac:dyDescent="0.2">
      <c r="A28" s="160" t="s">
        <v>462</v>
      </c>
      <c r="B28">
        <v>1</v>
      </c>
      <c r="T28" s="186">
        <f t="shared" si="0"/>
        <v>0</v>
      </c>
    </row>
    <row r="29" spans="1:20" hidden="1" x14ac:dyDescent="0.2">
      <c r="A29" s="160" t="s">
        <v>294</v>
      </c>
      <c r="B29">
        <v>3</v>
      </c>
      <c r="T29" s="186">
        <f t="shared" si="0"/>
        <v>0</v>
      </c>
    </row>
    <row r="30" spans="1:20" hidden="1" x14ac:dyDescent="0.2">
      <c r="A30" s="160" t="s">
        <v>158</v>
      </c>
      <c r="B30">
        <v>17</v>
      </c>
      <c r="T30" s="186">
        <f t="shared" si="0"/>
        <v>0</v>
      </c>
    </row>
    <row r="31" spans="1:20" hidden="1" x14ac:dyDescent="0.2">
      <c r="A31" s="160" t="s">
        <v>297</v>
      </c>
      <c r="B31">
        <v>1</v>
      </c>
      <c r="T31" s="186">
        <f t="shared" si="0"/>
        <v>0</v>
      </c>
    </row>
    <row r="32" spans="1:20" hidden="1" x14ac:dyDescent="0.2">
      <c r="A32" s="160" t="s">
        <v>106</v>
      </c>
      <c r="B32">
        <v>1</v>
      </c>
      <c r="T32" s="186">
        <f t="shared" si="0"/>
        <v>0</v>
      </c>
    </row>
    <row r="33" spans="1:20" x14ac:dyDescent="0.2">
      <c r="A33" s="160" t="s">
        <v>366</v>
      </c>
      <c r="B33">
        <v>2</v>
      </c>
      <c r="S33" s="186">
        <v>11</v>
      </c>
      <c r="T33" s="186">
        <f>S33/GETPIVOTDATA("Employee ID",$A$7,"Current Region","Europe")</f>
        <v>0.2391304347826087</v>
      </c>
    </row>
    <row r="34" spans="1:20" x14ac:dyDescent="0.2">
      <c r="A34" s="160" t="s">
        <v>513</v>
      </c>
      <c r="B34">
        <v>5</v>
      </c>
      <c r="S34">
        <v>7</v>
      </c>
      <c r="T34" s="186">
        <f>S34/GETPIVOTDATA("Employee ID",$A$7,"Current Region","Europe","Current project/team - primary","Cyprus")</f>
        <v>0.25</v>
      </c>
    </row>
    <row r="35" spans="1:20" x14ac:dyDescent="0.2">
      <c r="A35" s="160" t="s">
        <v>284</v>
      </c>
      <c r="B35">
        <v>4</v>
      </c>
      <c r="S35">
        <v>3</v>
      </c>
      <c r="T35" s="186">
        <f>S35/GETPIVOTDATA("Employee ID",$A$7,"Current Region","Europe","Current project/team - primary","IOM")</f>
        <v>0.42857142857142855</v>
      </c>
    </row>
    <row r="36" spans="1:20" x14ac:dyDescent="0.2">
      <c r="A36" s="160" t="s">
        <v>84</v>
      </c>
      <c r="S36">
        <v>1</v>
      </c>
      <c r="T36" s="186">
        <f>S36/GETPIVOTDATA("Employee ID",$A$7,"Current Region","Europe","Current project/team - primary","Jersey")</f>
        <v>0.1</v>
      </c>
    </row>
    <row r="37" spans="1:20" x14ac:dyDescent="0.2">
      <c r="A37" s="160" t="s">
        <v>790</v>
      </c>
      <c r="B37">
        <v>1</v>
      </c>
    </row>
    <row r="38" spans="1:20" hidden="1" x14ac:dyDescent="0.2">
      <c r="A38" s="160" t="s">
        <v>874</v>
      </c>
    </row>
    <row r="39" spans="1:20" hidden="1" x14ac:dyDescent="0.2">
      <c r="A39" s="159" t="s">
        <v>57</v>
      </c>
      <c r="B39">
        <v>46</v>
      </c>
    </row>
    <row r="40" spans="1:20" hidden="1" x14ac:dyDescent="0.2">
      <c r="A40" s="160" t="s">
        <v>72</v>
      </c>
      <c r="B40">
        <v>28</v>
      </c>
    </row>
    <row r="41" spans="1:20" hidden="1" x14ac:dyDescent="0.2">
      <c r="A41" s="160" t="s">
        <v>239</v>
      </c>
      <c r="B41">
        <v>7</v>
      </c>
    </row>
    <row r="42" spans="1:20" hidden="1" x14ac:dyDescent="0.2">
      <c r="A42" s="160" t="s">
        <v>163</v>
      </c>
      <c r="B42">
        <v>10</v>
      </c>
    </row>
    <row r="43" spans="1:20" hidden="1" x14ac:dyDescent="0.2">
      <c r="A43" s="160" t="s">
        <v>148</v>
      </c>
      <c r="B43">
        <v>1</v>
      </c>
    </row>
    <row r="44" spans="1:20" hidden="1" x14ac:dyDescent="0.2">
      <c r="A44" s="159" t="s">
        <v>55</v>
      </c>
      <c r="B44">
        <v>4</v>
      </c>
    </row>
    <row r="45" spans="1:20" hidden="1" x14ac:dyDescent="0.2">
      <c r="A45" s="160" t="s">
        <v>419</v>
      </c>
      <c r="B45">
        <v>1</v>
      </c>
    </row>
    <row r="46" spans="1:20" x14ac:dyDescent="0.2">
      <c r="A46" s="160" t="s">
        <v>60</v>
      </c>
      <c r="B46">
        <v>1</v>
      </c>
    </row>
    <row r="47" spans="1:20" x14ac:dyDescent="0.2">
      <c r="A47" s="160" t="s">
        <v>55</v>
      </c>
      <c r="B47">
        <v>2</v>
      </c>
    </row>
    <row r="48" spans="1:20" x14ac:dyDescent="0.2">
      <c r="A48" s="160" t="s">
        <v>84</v>
      </c>
    </row>
    <row r="49" spans="1:2" x14ac:dyDescent="0.2">
      <c r="A49" s="159" t="s">
        <v>56</v>
      </c>
      <c r="B49">
        <v>15</v>
      </c>
    </row>
    <row r="50" spans="1:2" x14ac:dyDescent="0.2">
      <c r="A50" s="160" t="s">
        <v>60</v>
      </c>
      <c r="B50">
        <v>1</v>
      </c>
    </row>
    <row r="51" spans="1:2" x14ac:dyDescent="0.2">
      <c r="A51" s="160" t="s">
        <v>227</v>
      </c>
      <c r="B51">
        <v>3</v>
      </c>
    </row>
    <row r="52" spans="1:2" x14ac:dyDescent="0.2">
      <c r="A52" s="160" t="s">
        <v>272</v>
      </c>
      <c r="B52">
        <v>6</v>
      </c>
    </row>
    <row r="53" spans="1:2" x14ac:dyDescent="0.2">
      <c r="A53" s="160" t="s">
        <v>222</v>
      </c>
      <c r="B53">
        <v>3</v>
      </c>
    </row>
    <row r="54" spans="1:2" x14ac:dyDescent="0.2">
      <c r="A54" s="160" t="s">
        <v>581</v>
      </c>
      <c r="B54">
        <v>2</v>
      </c>
    </row>
    <row r="55" spans="1:2" x14ac:dyDescent="0.2">
      <c r="A55" s="160" t="s">
        <v>84</v>
      </c>
    </row>
    <row r="56" spans="1:2" x14ac:dyDescent="0.2">
      <c r="A56" s="160" t="s">
        <v>819</v>
      </c>
    </row>
    <row r="57" spans="1:2" x14ac:dyDescent="0.2">
      <c r="A57" s="159" t="s">
        <v>63</v>
      </c>
      <c r="B57">
        <v>7</v>
      </c>
    </row>
    <row r="58" spans="1:2" x14ac:dyDescent="0.2">
      <c r="A58" s="160" t="s">
        <v>55</v>
      </c>
      <c r="B58">
        <v>1</v>
      </c>
    </row>
    <row r="59" spans="1:2" x14ac:dyDescent="0.2">
      <c r="A59" s="160" t="s">
        <v>84</v>
      </c>
    </row>
    <row r="60" spans="1:2" x14ac:dyDescent="0.2">
      <c r="A60" s="160" t="s">
        <v>245</v>
      </c>
      <c r="B60">
        <v>6</v>
      </c>
    </row>
    <row r="61" spans="1:2" x14ac:dyDescent="0.2">
      <c r="A61" s="159" t="s">
        <v>97</v>
      </c>
      <c r="B61">
        <v>1</v>
      </c>
    </row>
    <row r="62" spans="1:2" x14ac:dyDescent="0.2">
      <c r="A62" s="160" t="s">
        <v>60</v>
      </c>
      <c r="B62">
        <v>1</v>
      </c>
    </row>
    <row r="63" spans="1:2" x14ac:dyDescent="0.2">
      <c r="A63" s="159" t="s">
        <v>84</v>
      </c>
    </row>
    <row r="64" spans="1:2" x14ac:dyDescent="0.2">
      <c r="A64" s="160" t="s">
        <v>84</v>
      </c>
    </row>
    <row r="65" spans="1:2" x14ac:dyDescent="0.2">
      <c r="A65" s="159" t="s">
        <v>105</v>
      </c>
      <c r="B65">
        <v>173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9234-A96C-4E2C-843F-E37564461CE3}">
  <dimension ref="A1:C14"/>
  <sheetViews>
    <sheetView workbookViewId="0"/>
  </sheetViews>
  <sheetFormatPr defaultRowHeight="12.75" x14ac:dyDescent="0.2"/>
  <sheetData>
    <row r="1" spans="1:3" x14ac:dyDescent="0.2">
      <c r="A1" s="162" t="s">
        <v>1630</v>
      </c>
    </row>
    <row r="2" spans="1:3" x14ac:dyDescent="0.2">
      <c r="A2" t="s">
        <v>1386</v>
      </c>
      <c r="B2">
        <v>1</v>
      </c>
      <c r="C2" s="161">
        <v>0.31533662845478749</v>
      </c>
    </row>
    <row r="3" spans="1:3" x14ac:dyDescent="0.2">
      <c r="A3" t="s">
        <v>1631</v>
      </c>
      <c r="B3">
        <v>2</v>
      </c>
      <c r="C3" s="161">
        <v>0.17764306124324392</v>
      </c>
    </row>
    <row r="4" spans="1:3" x14ac:dyDescent="0.2">
      <c r="A4" t="s">
        <v>1632</v>
      </c>
      <c r="B4">
        <v>3</v>
      </c>
      <c r="C4" s="161">
        <v>0.14277817208415505</v>
      </c>
    </row>
    <row r="5" spans="1:3" x14ac:dyDescent="0.2">
      <c r="A5" t="s">
        <v>1633</v>
      </c>
      <c r="B5">
        <v>4</v>
      </c>
      <c r="C5" s="161">
        <v>0.26580852611570788</v>
      </c>
    </row>
    <row r="6" spans="1:3" x14ac:dyDescent="0.2">
      <c r="A6" t="s">
        <v>1634</v>
      </c>
      <c r="B6">
        <v>5</v>
      </c>
      <c r="C6" s="161">
        <v>0.13921851730584145</v>
      </c>
    </row>
    <row r="7" spans="1:3" x14ac:dyDescent="0.2">
      <c r="A7" t="s">
        <v>1635</v>
      </c>
      <c r="B7">
        <v>6</v>
      </c>
      <c r="C7" s="161">
        <v>0.18377003414453891</v>
      </c>
    </row>
    <row r="8" spans="1:3" x14ac:dyDescent="0.2">
      <c r="A8" t="s">
        <v>1636</v>
      </c>
      <c r="B8">
        <v>7</v>
      </c>
      <c r="C8" s="161">
        <v>0.17829653794429023</v>
      </c>
    </row>
    <row r="9" spans="1:3" x14ac:dyDescent="0.2">
      <c r="A9" t="s">
        <v>1637</v>
      </c>
      <c r="B9">
        <v>8</v>
      </c>
      <c r="C9" s="161">
        <v>0.18019088116961068</v>
      </c>
    </row>
    <row r="10" spans="1:3" x14ac:dyDescent="0.2">
      <c r="A10" t="s">
        <v>1638</v>
      </c>
      <c r="B10">
        <v>9</v>
      </c>
      <c r="C10" s="161">
        <v>0.17348658421748087</v>
      </c>
    </row>
    <row r="11" spans="1:3" x14ac:dyDescent="0.2">
      <c r="A11" t="s">
        <v>1639</v>
      </c>
      <c r="B11">
        <v>10</v>
      </c>
      <c r="C11" s="161">
        <v>0.18779251303040362</v>
      </c>
    </row>
    <row r="12" spans="1:3" x14ac:dyDescent="0.2">
      <c r="A12" t="s">
        <v>1640</v>
      </c>
      <c r="B12">
        <v>11</v>
      </c>
      <c r="C12" s="161">
        <v>0.14556532497419644</v>
      </c>
    </row>
    <row r="13" spans="1:3" x14ac:dyDescent="0.2">
      <c r="A13" t="s">
        <v>1641</v>
      </c>
      <c r="B13">
        <v>12</v>
      </c>
      <c r="C13" s="161">
        <v>0.31011321931574365</v>
      </c>
    </row>
    <row r="14" spans="1:3" x14ac:dyDescent="0.2">
      <c r="C14" s="161">
        <v>0.20000000000000004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8DD6-0696-45DA-9785-127251F95AC8}">
  <dimension ref="A3:B13"/>
  <sheetViews>
    <sheetView workbookViewId="0"/>
  </sheetViews>
  <sheetFormatPr defaultColWidth="9.140625" defaultRowHeight="12.75" x14ac:dyDescent="0.2"/>
  <cols>
    <col min="1" max="1" width="30" style="2" customWidth="1"/>
    <col min="2" max="16384" width="9.140625" style="2"/>
  </cols>
  <sheetData>
    <row r="3" spans="1:2" x14ac:dyDescent="0.2">
      <c r="A3" s="2" t="s">
        <v>1642</v>
      </c>
    </row>
    <row r="4" spans="1:2" x14ac:dyDescent="0.2">
      <c r="A4" s="86" t="s">
        <v>1643</v>
      </c>
    </row>
    <row r="6" spans="1:2" x14ac:dyDescent="0.2">
      <c r="A6" s="38">
        <v>45454</v>
      </c>
      <c r="B6" s="2" t="s">
        <v>1644</v>
      </c>
    </row>
    <row r="7" spans="1:2" x14ac:dyDescent="0.2">
      <c r="A7" s="2" t="s">
        <v>1645</v>
      </c>
    </row>
    <row r="8" spans="1:2" x14ac:dyDescent="0.2">
      <c r="A8" s="87" t="s">
        <v>1646</v>
      </c>
      <c r="B8" s="2" t="s">
        <v>1647</v>
      </c>
    </row>
    <row r="9" spans="1:2" x14ac:dyDescent="0.2">
      <c r="A9" s="87" t="s">
        <v>1648</v>
      </c>
    </row>
    <row r="10" spans="1:2" x14ac:dyDescent="0.2">
      <c r="A10" s="87" t="s">
        <v>637</v>
      </c>
    </row>
    <row r="11" spans="1:2" x14ac:dyDescent="0.2">
      <c r="A11" s="87" t="s">
        <v>1649</v>
      </c>
    </row>
    <row r="12" spans="1:2" x14ac:dyDescent="0.2">
      <c r="A12" s="87" t="s">
        <v>1650</v>
      </c>
      <c r="B12" s="2" t="s">
        <v>1651</v>
      </c>
    </row>
    <row r="13" spans="1:2" x14ac:dyDescent="0.2">
      <c r="A13" s="87" t="s">
        <v>291</v>
      </c>
    </row>
  </sheetData>
  <hyperlinks>
    <hyperlink ref="A4" r:id="rId1" xr:uid="{2EBE65CF-E4AC-46B9-B216-0666FFDD7B7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A5A8-48B3-49B8-8BF3-751F3EF32D00}">
  <dimension ref="A1:N183"/>
  <sheetViews>
    <sheetView workbookViewId="0"/>
  </sheetViews>
  <sheetFormatPr defaultColWidth="9.140625" defaultRowHeight="12.75" x14ac:dyDescent="0.2"/>
  <cols>
    <col min="1" max="1" width="15.140625" style="2" bestFit="1" customWidth="1"/>
    <col min="2" max="2" width="15.7109375" style="2" customWidth="1"/>
    <col min="3" max="3" width="10.28515625" style="2" customWidth="1"/>
    <col min="4" max="4" width="20.85546875" style="2" customWidth="1"/>
    <col min="5" max="5" width="10.85546875" style="2" bestFit="1" customWidth="1"/>
    <col min="6" max="6" width="18.85546875" style="2" bestFit="1" customWidth="1"/>
    <col min="7" max="7" width="28.7109375" style="2" customWidth="1"/>
    <col min="8" max="8" width="16.7109375" style="2" customWidth="1"/>
    <col min="9" max="9" width="11.7109375" style="38" customWidth="1"/>
    <col min="10" max="10" width="18.5703125" style="2" customWidth="1"/>
    <col min="11" max="11" width="21.5703125" style="2" customWidth="1"/>
    <col min="12" max="12" width="12.28515625" style="2" customWidth="1"/>
    <col min="13" max="13" width="20.85546875" style="2" bestFit="1" customWidth="1"/>
    <col min="14" max="14" width="24.28515625" style="2" customWidth="1"/>
    <col min="15" max="16384" width="9.140625" style="2"/>
  </cols>
  <sheetData>
    <row r="1" spans="1:14" ht="18.75" x14ac:dyDescent="0.3">
      <c r="A1" s="37" t="s">
        <v>1652</v>
      </c>
    </row>
    <row r="3" spans="1:14" s="47" customFormat="1" ht="27" customHeight="1" x14ac:dyDescent="0.2">
      <c r="A3" s="39" t="s">
        <v>128</v>
      </c>
      <c r="B3" s="40" t="s">
        <v>129</v>
      </c>
      <c r="C3" s="41" t="s">
        <v>130</v>
      </c>
      <c r="D3" s="40" t="s">
        <v>131</v>
      </c>
      <c r="E3" s="42" t="s">
        <v>68</v>
      </c>
      <c r="F3" s="43" t="s">
        <v>134</v>
      </c>
      <c r="G3" s="43" t="s">
        <v>1653</v>
      </c>
      <c r="H3" s="44" t="s">
        <v>135</v>
      </c>
      <c r="I3" s="44" t="s">
        <v>136</v>
      </c>
      <c r="J3" s="44" t="s">
        <v>137</v>
      </c>
      <c r="K3" s="45" t="s">
        <v>117</v>
      </c>
      <c r="L3" s="45" t="s">
        <v>138</v>
      </c>
      <c r="M3" s="45" t="s">
        <v>139</v>
      </c>
      <c r="N3" s="46" t="s">
        <v>140</v>
      </c>
    </row>
    <row r="4" spans="1:14" s="47" customFormat="1" ht="13.15" customHeight="1" x14ac:dyDescent="0.2">
      <c r="A4" s="48" t="s">
        <v>362</v>
      </c>
      <c r="B4" s="49" t="s">
        <v>363</v>
      </c>
      <c r="C4" s="50">
        <v>44299</v>
      </c>
      <c r="D4" s="51" t="s">
        <v>364</v>
      </c>
      <c r="E4" s="49" t="s">
        <v>70</v>
      </c>
      <c r="F4" s="49" t="s">
        <v>46</v>
      </c>
      <c r="G4" s="49" t="s">
        <v>1654</v>
      </c>
      <c r="H4" s="49"/>
      <c r="I4" s="50"/>
      <c r="J4" s="49"/>
      <c r="K4" s="49" t="s">
        <v>1655</v>
      </c>
      <c r="L4" s="49"/>
      <c r="M4" s="50"/>
      <c r="N4" s="52"/>
    </row>
    <row r="5" spans="1:14" s="47" customFormat="1" ht="12" x14ac:dyDescent="0.2">
      <c r="A5" s="48" t="s">
        <v>232</v>
      </c>
      <c r="B5" s="49" t="s">
        <v>233</v>
      </c>
      <c r="C5" s="50">
        <v>41957</v>
      </c>
      <c r="D5" s="51" t="s">
        <v>234</v>
      </c>
      <c r="E5" s="49" t="s">
        <v>70</v>
      </c>
      <c r="F5" s="49" t="s">
        <v>46</v>
      </c>
      <c r="G5" s="49" t="s">
        <v>157</v>
      </c>
      <c r="H5" s="49"/>
      <c r="I5" s="50"/>
      <c r="J5" s="49"/>
      <c r="K5" s="49" t="s">
        <v>106</v>
      </c>
      <c r="L5" s="49"/>
      <c r="M5" s="50"/>
      <c r="N5" s="52"/>
    </row>
    <row r="6" spans="1:14" s="47" customFormat="1" ht="12" x14ac:dyDescent="0.2">
      <c r="A6" s="48" t="s">
        <v>532</v>
      </c>
      <c r="B6" s="49" t="s">
        <v>533</v>
      </c>
      <c r="C6" s="50">
        <v>44879</v>
      </c>
      <c r="D6" s="51" t="s">
        <v>1140</v>
      </c>
      <c r="E6" s="49" t="s">
        <v>70</v>
      </c>
      <c r="F6" s="49" t="s">
        <v>46</v>
      </c>
      <c r="G6" s="49" t="s">
        <v>512</v>
      </c>
      <c r="H6" s="49"/>
      <c r="I6" s="50"/>
      <c r="J6" s="49"/>
      <c r="K6" s="49" t="s">
        <v>513</v>
      </c>
      <c r="L6" s="49"/>
      <c r="M6" s="50"/>
      <c r="N6" s="52"/>
    </row>
    <row r="7" spans="1:14" s="47" customFormat="1" ht="12" x14ac:dyDescent="0.2">
      <c r="A7" s="48" t="s">
        <v>583</v>
      </c>
      <c r="B7" s="49" t="s">
        <v>584</v>
      </c>
      <c r="C7" s="50">
        <v>45083</v>
      </c>
      <c r="D7" s="51" t="s">
        <v>1535</v>
      </c>
      <c r="E7" s="49" t="s">
        <v>70</v>
      </c>
      <c r="F7" s="49" t="s">
        <v>55</v>
      </c>
      <c r="G7" s="49" t="s">
        <v>329</v>
      </c>
      <c r="H7" s="49"/>
      <c r="I7" s="50"/>
      <c r="J7" s="49"/>
      <c r="K7" s="49" t="s">
        <v>55</v>
      </c>
      <c r="L7" s="49"/>
      <c r="M7" s="50"/>
      <c r="N7" s="52"/>
    </row>
    <row r="8" spans="1:14" s="47" customFormat="1" ht="12" x14ac:dyDescent="0.2">
      <c r="A8" s="48" t="s">
        <v>335</v>
      </c>
      <c r="B8" s="49" t="s">
        <v>336</v>
      </c>
      <c r="C8" s="50">
        <v>44032</v>
      </c>
      <c r="D8" s="51" t="s">
        <v>1162</v>
      </c>
      <c r="E8" s="49" t="s">
        <v>70</v>
      </c>
      <c r="F8" s="49" t="s">
        <v>223</v>
      </c>
      <c r="G8" s="49" t="s">
        <v>288</v>
      </c>
      <c r="H8" s="49"/>
      <c r="I8" s="50"/>
      <c r="J8" s="49"/>
      <c r="K8" s="49" t="s">
        <v>272</v>
      </c>
      <c r="L8" s="49"/>
      <c r="M8" s="50"/>
      <c r="N8" s="52"/>
    </row>
    <row r="9" spans="1:14" s="47" customFormat="1" ht="12" x14ac:dyDescent="0.2">
      <c r="A9" s="53" t="s">
        <v>621</v>
      </c>
      <c r="B9" s="54" t="s">
        <v>473</v>
      </c>
      <c r="C9" s="50">
        <v>45201</v>
      </c>
      <c r="D9" s="55" t="s">
        <v>1656</v>
      </c>
      <c r="E9" s="49" t="s">
        <v>72</v>
      </c>
      <c r="F9" s="49" t="s">
        <v>57</v>
      </c>
      <c r="G9" s="49" t="s">
        <v>1657</v>
      </c>
      <c r="H9" s="49"/>
      <c r="I9" s="50"/>
      <c r="J9" s="49"/>
      <c r="K9" s="49" t="s">
        <v>1658</v>
      </c>
      <c r="L9" s="49"/>
      <c r="M9" s="50"/>
      <c r="N9" s="52"/>
    </row>
    <row r="10" spans="1:14" s="47" customFormat="1" ht="12" x14ac:dyDescent="0.2">
      <c r="A10" s="48" t="s">
        <v>661</v>
      </c>
      <c r="B10" s="49" t="s">
        <v>662</v>
      </c>
      <c r="C10" s="50">
        <v>45385</v>
      </c>
      <c r="D10" s="51" t="s">
        <v>1659</v>
      </c>
      <c r="E10" s="49" t="s">
        <v>70</v>
      </c>
      <c r="F10" s="49" t="s">
        <v>46</v>
      </c>
      <c r="G10" s="49" t="s">
        <v>1654</v>
      </c>
      <c r="H10" s="49"/>
      <c r="I10" s="50"/>
      <c r="J10" s="49"/>
      <c r="K10" s="49" t="s">
        <v>513</v>
      </c>
      <c r="L10" s="49"/>
      <c r="M10" s="50"/>
      <c r="N10" s="52"/>
    </row>
    <row r="11" spans="1:14" s="47" customFormat="1" ht="12" x14ac:dyDescent="0.2">
      <c r="A11" s="53" t="s">
        <v>614</v>
      </c>
      <c r="B11" s="54" t="s">
        <v>1551</v>
      </c>
      <c r="C11" s="50">
        <v>45187</v>
      </c>
      <c r="D11" s="55" t="s">
        <v>1660</v>
      </c>
      <c r="E11" s="49" t="s">
        <v>72</v>
      </c>
      <c r="F11" s="49" t="s">
        <v>57</v>
      </c>
      <c r="G11" s="49" t="s">
        <v>1661</v>
      </c>
      <c r="H11" s="49"/>
      <c r="I11" s="50"/>
      <c r="J11" s="49"/>
      <c r="K11" s="49" t="s">
        <v>1662</v>
      </c>
      <c r="L11" s="49"/>
      <c r="M11" s="50"/>
      <c r="N11" s="52"/>
    </row>
    <row r="12" spans="1:14" s="47" customFormat="1" ht="12" x14ac:dyDescent="0.2">
      <c r="A12" s="48" t="s">
        <v>413</v>
      </c>
      <c r="B12" s="49" t="s">
        <v>414</v>
      </c>
      <c r="C12" s="50">
        <v>44447</v>
      </c>
      <c r="D12" s="51" t="s">
        <v>181</v>
      </c>
      <c r="E12" s="49" t="s">
        <v>70</v>
      </c>
      <c r="F12" s="49" t="s">
        <v>57</v>
      </c>
      <c r="G12" s="49" t="s">
        <v>162</v>
      </c>
      <c r="H12" s="49"/>
      <c r="I12" s="50"/>
      <c r="J12" s="49"/>
      <c r="K12" s="49" t="s">
        <v>239</v>
      </c>
      <c r="L12" s="49"/>
      <c r="M12" s="50"/>
      <c r="N12" s="52"/>
    </row>
    <row r="13" spans="1:14" s="47" customFormat="1" ht="12" x14ac:dyDescent="0.2">
      <c r="A13" s="53" t="s">
        <v>678</v>
      </c>
      <c r="B13" s="49" t="s">
        <v>679</v>
      </c>
      <c r="C13" s="50">
        <v>45425</v>
      </c>
      <c r="D13" s="51" t="s">
        <v>181</v>
      </c>
      <c r="E13" s="49" t="s">
        <v>70</v>
      </c>
      <c r="F13" s="49" t="s">
        <v>59</v>
      </c>
      <c r="G13" s="49" t="s">
        <v>1663</v>
      </c>
      <c r="H13" s="49"/>
      <c r="I13" s="50"/>
      <c r="J13" s="49"/>
      <c r="K13" s="49" t="s">
        <v>1664</v>
      </c>
      <c r="L13" s="49"/>
      <c r="M13" s="50"/>
      <c r="N13" s="52"/>
    </row>
    <row r="14" spans="1:14" s="47" customFormat="1" ht="12" x14ac:dyDescent="0.2">
      <c r="A14" s="48" t="s">
        <v>603</v>
      </c>
      <c r="B14" s="49" t="s">
        <v>604</v>
      </c>
      <c r="C14" s="50">
        <v>45169</v>
      </c>
      <c r="D14" s="51" t="s">
        <v>605</v>
      </c>
      <c r="E14" s="49" t="s">
        <v>70</v>
      </c>
      <c r="F14" s="49" t="s">
        <v>46</v>
      </c>
      <c r="G14" s="49" t="s">
        <v>1654</v>
      </c>
      <c r="H14" s="49"/>
      <c r="I14" s="50"/>
      <c r="J14" s="49"/>
      <c r="K14" s="49" t="s">
        <v>284</v>
      </c>
      <c r="L14" s="49"/>
      <c r="M14" s="50"/>
      <c r="N14" s="52"/>
    </row>
    <row r="15" spans="1:14" s="47" customFormat="1" ht="12" x14ac:dyDescent="0.2">
      <c r="A15" s="48" t="s">
        <v>448</v>
      </c>
      <c r="B15" s="49" t="s">
        <v>449</v>
      </c>
      <c r="C15" s="50">
        <v>44630</v>
      </c>
      <c r="D15" s="51" t="s">
        <v>173</v>
      </c>
      <c r="E15" s="49" t="s">
        <v>70</v>
      </c>
      <c r="F15" s="49" t="s">
        <v>57</v>
      </c>
      <c r="G15" s="49" t="s">
        <v>238</v>
      </c>
      <c r="H15" s="49"/>
      <c r="I15" s="50"/>
      <c r="J15" s="49"/>
      <c r="K15" s="49" t="s">
        <v>72</v>
      </c>
      <c r="L15" s="49"/>
      <c r="M15" s="50"/>
      <c r="N15" s="52"/>
    </row>
    <row r="16" spans="1:14" s="47" customFormat="1" ht="12" x14ac:dyDescent="0.2">
      <c r="A16" s="48" t="s">
        <v>176</v>
      </c>
      <c r="B16" s="49" t="s">
        <v>177</v>
      </c>
      <c r="C16" s="50">
        <v>39475</v>
      </c>
      <c r="D16" s="51" t="s">
        <v>178</v>
      </c>
      <c r="E16" s="49" t="s">
        <v>70</v>
      </c>
      <c r="F16" s="49" t="s">
        <v>60</v>
      </c>
      <c r="G16" s="49" t="s">
        <v>147</v>
      </c>
      <c r="H16" s="49"/>
      <c r="I16" s="50"/>
      <c r="J16" s="49"/>
      <c r="K16" s="49" t="s">
        <v>60</v>
      </c>
      <c r="L16" s="49"/>
      <c r="M16" s="50"/>
      <c r="N16" s="52"/>
    </row>
    <row r="17" spans="1:14" s="47" customFormat="1" ht="12" x14ac:dyDescent="0.2">
      <c r="A17" s="48" t="s">
        <v>373</v>
      </c>
      <c r="B17" s="49" t="s">
        <v>374</v>
      </c>
      <c r="C17" s="50">
        <v>44336</v>
      </c>
      <c r="D17" s="51" t="s">
        <v>372</v>
      </c>
      <c r="E17" s="49" t="s">
        <v>70</v>
      </c>
      <c r="F17" s="49" t="s">
        <v>61</v>
      </c>
      <c r="G17" s="49" t="s">
        <v>314</v>
      </c>
      <c r="H17" s="49"/>
      <c r="I17" s="50"/>
      <c r="J17" s="49"/>
      <c r="K17" s="49" t="s">
        <v>175</v>
      </c>
      <c r="L17" s="49"/>
      <c r="M17" s="50"/>
      <c r="N17" s="52"/>
    </row>
    <row r="18" spans="1:14" s="47" customFormat="1" ht="12" x14ac:dyDescent="0.2">
      <c r="A18" s="48" t="s">
        <v>188</v>
      </c>
      <c r="B18" s="49" t="s">
        <v>189</v>
      </c>
      <c r="C18" s="50">
        <v>40067</v>
      </c>
      <c r="D18" s="51" t="s">
        <v>237</v>
      </c>
      <c r="E18" s="49" t="s">
        <v>70</v>
      </c>
      <c r="F18" s="49" t="s">
        <v>57</v>
      </c>
      <c r="G18" s="49" t="s">
        <v>238</v>
      </c>
      <c r="H18" s="49"/>
      <c r="I18" s="50"/>
      <c r="J18" s="49"/>
      <c r="K18" s="49" t="s">
        <v>72</v>
      </c>
      <c r="L18" s="49"/>
      <c r="M18" s="50"/>
      <c r="N18" s="52"/>
    </row>
    <row r="19" spans="1:14" s="47" customFormat="1" ht="12" x14ac:dyDescent="0.2">
      <c r="A19" s="48" t="s">
        <v>154</v>
      </c>
      <c r="B19" s="49" t="s">
        <v>155</v>
      </c>
      <c r="C19" s="50">
        <v>36823</v>
      </c>
      <c r="D19" s="51" t="s">
        <v>156</v>
      </c>
      <c r="E19" s="49" t="s">
        <v>70</v>
      </c>
      <c r="F19" s="49" t="s">
        <v>46</v>
      </c>
      <c r="G19" s="49" t="s">
        <v>157</v>
      </c>
      <c r="H19" s="49"/>
      <c r="I19" s="50"/>
      <c r="J19" s="49"/>
      <c r="K19" s="49" t="s">
        <v>46</v>
      </c>
      <c r="L19" s="49"/>
      <c r="M19" s="50"/>
      <c r="N19" s="52"/>
    </row>
    <row r="20" spans="1:14" s="47" customFormat="1" ht="12" x14ac:dyDescent="0.2">
      <c r="A20" s="48" t="s">
        <v>626</v>
      </c>
      <c r="B20" s="49" t="s">
        <v>627</v>
      </c>
      <c r="C20" s="50">
        <v>45229</v>
      </c>
      <c r="D20" s="51" t="s">
        <v>1564</v>
      </c>
      <c r="E20" s="49" t="s">
        <v>70</v>
      </c>
      <c r="F20" s="49" t="s">
        <v>223</v>
      </c>
      <c r="G20" s="49" t="s">
        <v>221</v>
      </c>
      <c r="H20" s="49"/>
      <c r="I20" s="50"/>
      <c r="J20" s="49"/>
      <c r="K20" s="49" t="s">
        <v>581</v>
      </c>
      <c r="L20" s="49"/>
      <c r="M20" s="50"/>
      <c r="N20" s="52"/>
    </row>
    <row r="21" spans="1:14" s="47" customFormat="1" ht="12" x14ac:dyDescent="0.2">
      <c r="A21" s="48" t="s">
        <v>323</v>
      </c>
      <c r="B21" s="49" t="s">
        <v>324</v>
      </c>
      <c r="C21" s="50">
        <v>43913</v>
      </c>
      <c r="D21" s="51" t="s">
        <v>325</v>
      </c>
      <c r="E21" s="49" t="s">
        <v>70</v>
      </c>
      <c r="F21" s="49" t="s">
        <v>46</v>
      </c>
      <c r="G21" s="49" t="s">
        <v>187</v>
      </c>
      <c r="H21" s="49"/>
      <c r="I21" s="50"/>
      <c r="J21" s="49"/>
      <c r="K21" s="49" t="s">
        <v>46</v>
      </c>
      <c r="L21" s="49"/>
      <c r="M21" s="50"/>
      <c r="N21" s="52"/>
    </row>
    <row r="22" spans="1:14" s="47" customFormat="1" ht="12" x14ac:dyDescent="0.2">
      <c r="A22" s="48" t="s">
        <v>246</v>
      </c>
      <c r="B22" s="49" t="s">
        <v>247</v>
      </c>
      <c r="C22" s="50">
        <v>42435</v>
      </c>
      <c r="D22" s="51" t="s">
        <v>1016</v>
      </c>
      <c r="E22" s="49" t="s">
        <v>70</v>
      </c>
      <c r="F22" s="49" t="s">
        <v>46</v>
      </c>
      <c r="G22" s="49" t="s">
        <v>187</v>
      </c>
      <c r="H22" s="49"/>
      <c r="I22" s="50"/>
      <c r="J22" s="49"/>
      <c r="K22" s="49" t="s">
        <v>46</v>
      </c>
      <c r="L22" s="49"/>
      <c r="M22" s="50"/>
      <c r="N22" s="52"/>
    </row>
    <row r="23" spans="1:14" s="47" customFormat="1" ht="12" x14ac:dyDescent="0.2">
      <c r="A23" s="48" t="s">
        <v>687</v>
      </c>
      <c r="B23" s="49" t="s">
        <v>688</v>
      </c>
      <c r="C23" s="50">
        <v>45474</v>
      </c>
      <c r="D23" s="51" t="s">
        <v>594</v>
      </c>
      <c r="E23" s="49" t="s">
        <v>70</v>
      </c>
      <c r="F23" s="49" t="s">
        <v>59</v>
      </c>
      <c r="G23" s="49" t="s">
        <v>1665</v>
      </c>
      <c r="H23" s="49"/>
      <c r="I23" s="50"/>
      <c r="J23" s="49"/>
      <c r="K23" s="49" t="s">
        <v>1666</v>
      </c>
      <c r="L23" s="49"/>
      <c r="M23" s="50"/>
      <c r="N23" s="52"/>
    </row>
    <row r="24" spans="1:14" s="47" customFormat="1" ht="12" x14ac:dyDescent="0.2">
      <c r="A24" s="48" t="s">
        <v>530</v>
      </c>
      <c r="B24" s="49" t="s">
        <v>531</v>
      </c>
      <c r="C24" s="50">
        <v>44879</v>
      </c>
      <c r="D24" s="51" t="s">
        <v>1140</v>
      </c>
      <c r="E24" s="49" t="s">
        <v>70</v>
      </c>
      <c r="F24" s="49" t="s">
        <v>57</v>
      </c>
      <c r="G24" s="49" t="s">
        <v>536</v>
      </c>
      <c r="H24" s="49"/>
      <c r="I24" s="50"/>
      <c r="J24" s="49"/>
      <c r="K24" s="49" t="s">
        <v>72</v>
      </c>
      <c r="L24" s="49"/>
      <c r="M24" s="50"/>
      <c r="N24" s="52"/>
    </row>
    <row r="25" spans="1:14" s="47" customFormat="1" ht="12" x14ac:dyDescent="0.2">
      <c r="A25" s="48" t="s">
        <v>569</v>
      </c>
      <c r="B25" s="49" t="s">
        <v>570</v>
      </c>
      <c r="C25" s="50">
        <v>44971</v>
      </c>
      <c r="D25" s="51" t="s">
        <v>571</v>
      </c>
      <c r="E25" s="49" t="s">
        <v>70</v>
      </c>
      <c r="F25" s="49" t="s">
        <v>55</v>
      </c>
      <c r="G25" s="49" t="s">
        <v>329</v>
      </c>
      <c r="H25" s="49"/>
      <c r="I25" s="50"/>
      <c r="J25" s="49"/>
      <c r="K25" s="49" t="s">
        <v>55</v>
      </c>
      <c r="L25" s="49"/>
      <c r="M25" s="50"/>
      <c r="N25" s="52"/>
    </row>
    <row r="26" spans="1:14" s="47" customFormat="1" ht="12" x14ac:dyDescent="0.2">
      <c r="A26" s="48" t="s">
        <v>229</v>
      </c>
      <c r="B26" s="49" t="s">
        <v>230</v>
      </c>
      <c r="C26" s="50">
        <v>41715</v>
      </c>
      <c r="D26" s="51" t="s">
        <v>169</v>
      </c>
      <c r="E26" s="49" t="s">
        <v>70</v>
      </c>
      <c r="F26" s="49" t="s">
        <v>57</v>
      </c>
      <c r="G26" s="49" t="s">
        <v>231</v>
      </c>
      <c r="H26" s="49"/>
      <c r="I26" s="50"/>
      <c r="J26" s="49"/>
      <c r="K26" s="49" t="s">
        <v>72</v>
      </c>
      <c r="L26" s="49"/>
      <c r="M26" s="50"/>
      <c r="N26" s="52"/>
    </row>
    <row r="27" spans="1:14" s="47" customFormat="1" ht="12" customHeight="1" x14ac:dyDescent="0.2">
      <c r="A27" s="48" t="s">
        <v>495</v>
      </c>
      <c r="B27" s="49" t="s">
        <v>496</v>
      </c>
      <c r="C27" s="50">
        <v>44823</v>
      </c>
      <c r="D27" s="51" t="s">
        <v>1667</v>
      </c>
      <c r="E27" s="49" t="s">
        <v>70</v>
      </c>
      <c r="F27" s="49" t="s">
        <v>61</v>
      </c>
      <c r="G27" s="49" t="s">
        <v>314</v>
      </c>
      <c r="H27" s="49"/>
      <c r="I27" s="50"/>
      <c r="J27" s="49"/>
      <c r="K27" s="49" t="s">
        <v>175</v>
      </c>
      <c r="L27" s="49"/>
      <c r="M27" s="50"/>
      <c r="N27" s="52" t="s">
        <v>497</v>
      </c>
    </row>
    <row r="28" spans="1:14" s="47" customFormat="1" ht="12" x14ac:dyDescent="0.2">
      <c r="A28" s="53" t="s">
        <v>491</v>
      </c>
      <c r="B28" s="54" t="s">
        <v>492</v>
      </c>
      <c r="C28" s="50">
        <v>44816</v>
      </c>
      <c r="D28" s="55" t="s">
        <v>372</v>
      </c>
      <c r="E28" s="49" t="s">
        <v>72</v>
      </c>
      <c r="F28" s="49" t="s">
        <v>57</v>
      </c>
      <c r="G28" s="49" t="s">
        <v>1657</v>
      </c>
      <c r="H28" s="49"/>
      <c r="I28" s="50"/>
      <c r="J28" s="49"/>
      <c r="K28" s="49" t="s">
        <v>72</v>
      </c>
      <c r="L28" s="49"/>
      <c r="M28" s="50"/>
      <c r="N28" s="52"/>
    </row>
    <row r="29" spans="1:14" s="47" customFormat="1" ht="12" x14ac:dyDescent="0.2">
      <c r="A29" s="53" t="s">
        <v>648</v>
      </c>
      <c r="B29" s="54" t="s">
        <v>649</v>
      </c>
      <c r="C29" s="50">
        <v>45334</v>
      </c>
      <c r="D29" s="55" t="s">
        <v>169</v>
      </c>
      <c r="E29" s="49" t="s">
        <v>72</v>
      </c>
      <c r="F29" s="49" t="s">
        <v>57</v>
      </c>
      <c r="G29" s="49" t="s">
        <v>1657</v>
      </c>
      <c r="H29" s="49"/>
      <c r="I29" s="50"/>
      <c r="J29" s="49"/>
      <c r="K29" s="49" t="s">
        <v>72</v>
      </c>
      <c r="L29" s="49"/>
      <c r="M29" s="50"/>
      <c r="N29" s="52"/>
    </row>
    <row r="30" spans="1:14" s="47" customFormat="1" ht="12" x14ac:dyDescent="0.2">
      <c r="A30" s="48" t="s">
        <v>514</v>
      </c>
      <c r="B30" s="49" t="s">
        <v>515</v>
      </c>
      <c r="C30" s="50">
        <v>44859</v>
      </c>
      <c r="D30" s="51" t="s">
        <v>169</v>
      </c>
      <c r="E30" s="49" t="s">
        <v>70</v>
      </c>
      <c r="F30" s="49" t="s">
        <v>46</v>
      </c>
      <c r="G30" s="49" t="s">
        <v>1668</v>
      </c>
      <c r="H30" s="49"/>
      <c r="I30" s="50"/>
      <c r="J30" s="49"/>
      <c r="K30" s="49" t="s">
        <v>1669</v>
      </c>
      <c r="L30" s="49"/>
      <c r="M30" s="50"/>
      <c r="N30" s="52"/>
    </row>
    <row r="31" spans="1:14" s="47" customFormat="1" ht="12" x14ac:dyDescent="0.2">
      <c r="A31" s="53" t="s">
        <v>487</v>
      </c>
      <c r="B31" s="54" t="s">
        <v>488</v>
      </c>
      <c r="C31" s="50">
        <v>44816</v>
      </c>
      <c r="D31" s="55" t="s">
        <v>489</v>
      </c>
      <c r="E31" s="49" t="s">
        <v>72</v>
      </c>
      <c r="F31" s="49" t="s">
        <v>57</v>
      </c>
      <c r="G31" s="49" t="s">
        <v>490</v>
      </c>
      <c r="H31" s="49"/>
      <c r="I31" s="50"/>
      <c r="J31" s="49"/>
      <c r="K31" s="49" t="s">
        <v>1670</v>
      </c>
      <c r="L31" s="49"/>
      <c r="M31" s="50"/>
      <c r="N31" s="52"/>
    </row>
    <row r="32" spans="1:14" s="47" customFormat="1" ht="12" x14ac:dyDescent="0.2">
      <c r="A32" s="48" t="s">
        <v>438</v>
      </c>
      <c r="B32" s="49" t="s">
        <v>252</v>
      </c>
      <c r="C32" s="50">
        <v>44529</v>
      </c>
      <c r="D32" s="51" t="s">
        <v>318</v>
      </c>
      <c r="E32" s="49" t="s">
        <v>70</v>
      </c>
      <c r="F32" s="49" t="s">
        <v>46</v>
      </c>
      <c r="G32" s="49" t="s">
        <v>207</v>
      </c>
      <c r="H32" s="49"/>
      <c r="I32" s="50"/>
      <c r="J32" s="49"/>
      <c r="K32" s="49" t="s">
        <v>1671</v>
      </c>
      <c r="L32" s="49"/>
      <c r="M32" s="50"/>
      <c r="N32" s="52"/>
    </row>
    <row r="33" spans="1:14" s="47" customFormat="1" ht="12" x14ac:dyDescent="0.2">
      <c r="A33" s="48" t="s">
        <v>251</v>
      </c>
      <c r="B33" s="49" t="s">
        <v>252</v>
      </c>
      <c r="C33" s="50">
        <v>42741</v>
      </c>
      <c r="D33" s="51" t="s">
        <v>169</v>
      </c>
      <c r="E33" s="49" t="s">
        <v>70</v>
      </c>
      <c r="F33" s="49" t="s">
        <v>57</v>
      </c>
      <c r="G33" s="49" t="s">
        <v>162</v>
      </c>
      <c r="H33" s="49"/>
      <c r="I33" s="50"/>
      <c r="J33" s="49"/>
      <c r="K33" s="49" t="s">
        <v>163</v>
      </c>
      <c r="L33" s="49"/>
      <c r="M33" s="50"/>
      <c r="N33" s="52" t="s">
        <v>1672</v>
      </c>
    </row>
    <row r="34" spans="1:14" s="47" customFormat="1" ht="12" x14ac:dyDescent="0.2">
      <c r="A34" s="48" t="s">
        <v>436</v>
      </c>
      <c r="B34" s="49" t="s">
        <v>180</v>
      </c>
      <c r="C34" s="50">
        <v>44515</v>
      </c>
      <c r="D34" s="51" t="s">
        <v>372</v>
      </c>
      <c r="E34" s="49" t="s">
        <v>70</v>
      </c>
      <c r="F34" s="49" t="s">
        <v>57</v>
      </c>
      <c r="G34" s="49" t="s">
        <v>162</v>
      </c>
      <c r="H34" s="49"/>
      <c r="I34" s="50"/>
      <c r="J34" s="49"/>
      <c r="K34" s="49" t="s">
        <v>163</v>
      </c>
      <c r="L34" s="49"/>
      <c r="M34" s="50"/>
      <c r="N34" s="52"/>
    </row>
    <row r="35" spans="1:14" s="47" customFormat="1" ht="12" x14ac:dyDescent="0.2">
      <c r="A35" s="48" t="s">
        <v>179</v>
      </c>
      <c r="B35" s="49" t="s">
        <v>180</v>
      </c>
      <c r="C35" s="50">
        <v>39630</v>
      </c>
      <c r="D35" s="51" t="s">
        <v>181</v>
      </c>
      <c r="E35" s="49" t="s">
        <v>70</v>
      </c>
      <c r="F35" s="49" t="s">
        <v>59</v>
      </c>
      <c r="G35" s="49" t="s">
        <v>1663</v>
      </c>
      <c r="H35" s="49"/>
      <c r="I35" s="50"/>
      <c r="J35" s="49"/>
      <c r="K35" s="49" t="s">
        <v>297</v>
      </c>
      <c r="L35" s="49"/>
      <c r="M35" s="50"/>
      <c r="N35" s="52"/>
    </row>
    <row r="36" spans="1:14" s="47" customFormat="1" ht="12" x14ac:dyDescent="0.2">
      <c r="A36" s="48" t="s">
        <v>498</v>
      </c>
      <c r="B36" s="49" t="s">
        <v>499</v>
      </c>
      <c r="C36" s="50">
        <v>44823</v>
      </c>
      <c r="D36" s="51" t="s">
        <v>386</v>
      </c>
      <c r="E36" s="49" t="s">
        <v>70</v>
      </c>
      <c r="F36" s="49" t="s">
        <v>57</v>
      </c>
      <c r="G36" s="49" t="s">
        <v>1661</v>
      </c>
      <c r="H36" s="49"/>
      <c r="I36" s="50"/>
      <c r="J36" s="49"/>
      <c r="K36" s="49" t="s">
        <v>72</v>
      </c>
      <c r="L36" s="49"/>
      <c r="M36" s="50"/>
      <c r="N36" s="52"/>
    </row>
    <row r="37" spans="1:14" s="47" customFormat="1" ht="12" x14ac:dyDescent="0.2">
      <c r="A37" s="56" t="s">
        <v>547</v>
      </c>
      <c r="B37" s="57" t="s">
        <v>548</v>
      </c>
      <c r="C37" s="58">
        <v>44963</v>
      </c>
      <c r="D37" s="57" t="s">
        <v>206</v>
      </c>
      <c r="E37" s="49" t="s">
        <v>73</v>
      </c>
      <c r="F37" s="49" t="s">
        <v>59</v>
      </c>
      <c r="G37" s="49" t="s">
        <v>400</v>
      </c>
      <c r="H37" s="49" t="s">
        <v>61</v>
      </c>
      <c r="I37" s="50">
        <v>45569</v>
      </c>
      <c r="J37" s="49" t="s">
        <v>549</v>
      </c>
      <c r="K37" s="49" t="s">
        <v>297</v>
      </c>
      <c r="L37" s="49" t="s">
        <v>175</v>
      </c>
      <c r="M37" s="50"/>
      <c r="N37" s="52"/>
    </row>
    <row r="38" spans="1:14" s="47" customFormat="1" ht="12" x14ac:dyDescent="0.2">
      <c r="A38" s="48" t="s">
        <v>370</v>
      </c>
      <c r="B38" s="49" t="s">
        <v>371</v>
      </c>
      <c r="C38" s="50">
        <v>44336</v>
      </c>
      <c r="D38" s="51" t="s">
        <v>372</v>
      </c>
      <c r="E38" s="49" t="s">
        <v>70</v>
      </c>
      <c r="F38" s="49" t="s">
        <v>57</v>
      </c>
      <c r="G38" s="49" t="s">
        <v>231</v>
      </c>
      <c r="H38" s="49"/>
      <c r="I38" s="50"/>
      <c r="J38" s="49"/>
      <c r="K38" s="49" t="s">
        <v>72</v>
      </c>
      <c r="L38" s="49"/>
      <c r="M38" s="50"/>
      <c r="N38" s="52"/>
    </row>
    <row r="39" spans="1:14" s="47" customFormat="1" ht="12" x14ac:dyDescent="0.2">
      <c r="A39" s="48" t="s">
        <v>303</v>
      </c>
      <c r="B39" s="49" t="s">
        <v>304</v>
      </c>
      <c r="C39" s="50">
        <v>43633</v>
      </c>
      <c r="D39" s="51" t="s">
        <v>305</v>
      </c>
      <c r="E39" s="49" t="s">
        <v>70</v>
      </c>
      <c r="F39" s="49" t="s">
        <v>223</v>
      </c>
      <c r="G39" s="49" t="s">
        <v>288</v>
      </c>
      <c r="H39" s="49"/>
      <c r="I39" s="50"/>
      <c r="J39" s="49"/>
      <c r="K39" s="49" t="s">
        <v>272</v>
      </c>
      <c r="L39" s="49"/>
      <c r="M39" s="50"/>
      <c r="N39" s="52"/>
    </row>
    <row r="40" spans="1:14" s="47" customFormat="1" ht="12" x14ac:dyDescent="0.2">
      <c r="A40" s="48" t="s">
        <v>676</v>
      </c>
      <c r="B40" s="49" t="s">
        <v>677</v>
      </c>
      <c r="C40" s="50">
        <v>45425</v>
      </c>
      <c r="D40" s="51" t="s">
        <v>206</v>
      </c>
      <c r="E40" s="49" t="s">
        <v>72</v>
      </c>
      <c r="F40" s="49" t="s">
        <v>57</v>
      </c>
      <c r="G40" s="49" t="s">
        <v>1657</v>
      </c>
      <c r="H40" s="49"/>
      <c r="I40" s="50"/>
      <c r="J40" s="49"/>
      <c r="K40" s="49" t="s">
        <v>72</v>
      </c>
      <c r="L40" s="49"/>
      <c r="M40" s="50"/>
      <c r="N40" s="52"/>
    </row>
    <row r="41" spans="1:14" s="47" customFormat="1" ht="12" x14ac:dyDescent="0.2">
      <c r="A41" s="48" t="s">
        <v>159</v>
      </c>
      <c r="B41" s="49" t="s">
        <v>160</v>
      </c>
      <c r="C41" s="50">
        <v>36842</v>
      </c>
      <c r="D41" s="51" t="s">
        <v>161</v>
      </c>
      <c r="E41" s="49" t="s">
        <v>70</v>
      </c>
      <c r="F41" s="49" t="s">
        <v>57</v>
      </c>
      <c r="G41" s="49" t="s">
        <v>162</v>
      </c>
      <c r="H41" s="49"/>
      <c r="I41" s="50"/>
      <c r="J41" s="49"/>
      <c r="K41" s="49" t="s">
        <v>617</v>
      </c>
      <c r="L41" s="49"/>
      <c r="M41" s="50"/>
      <c r="N41" s="52"/>
    </row>
    <row r="42" spans="1:14" s="47" customFormat="1" ht="12" x14ac:dyDescent="0.2">
      <c r="A42" s="48" t="s">
        <v>610</v>
      </c>
      <c r="B42" s="49" t="s">
        <v>611</v>
      </c>
      <c r="C42" s="50">
        <v>45170</v>
      </c>
      <c r="D42" s="51" t="s">
        <v>206</v>
      </c>
      <c r="E42" s="49" t="s">
        <v>70</v>
      </c>
      <c r="F42" s="49" t="s">
        <v>57</v>
      </c>
      <c r="G42" s="49" t="s">
        <v>162</v>
      </c>
      <c r="H42" s="49"/>
      <c r="I42" s="50"/>
      <c r="J42" s="49"/>
      <c r="K42" s="49" t="s">
        <v>239</v>
      </c>
      <c r="L42" s="49"/>
      <c r="M42" s="50"/>
      <c r="N42" s="52"/>
    </row>
    <row r="43" spans="1:14" s="47" customFormat="1" ht="12" x14ac:dyDescent="0.2">
      <c r="A43" s="48" t="s">
        <v>331</v>
      </c>
      <c r="B43" s="49" t="s">
        <v>332</v>
      </c>
      <c r="C43" s="50">
        <v>44027</v>
      </c>
      <c r="D43" s="51" t="s">
        <v>333</v>
      </c>
      <c r="E43" s="49" t="s">
        <v>70</v>
      </c>
      <c r="F43" s="49" t="s">
        <v>55</v>
      </c>
      <c r="G43" s="49" t="s">
        <v>334</v>
      </c>
      <c r="H43" s="49"/>
      <c r="I43" s="50"/>
      <c r="J43" s="49"/>
      <c r="K43" s="49" t="s">
        <v>55</v>
      </c>
      <c r="L43" s="49"/>
      <c r="M43" s="50"/>
      <c r="N43" s="52"/>
    </row>
    <row r="44" spans="1:14" s="47" customFormat="1" ht="12" x14ac:dyDescent="0.2">
      <c r="A44" s="48" t="s">
        <v>401</v>
      </c>
      <c r="B44" s="49" t="s">
        <v>402</v>
      </c>
      <c r="C44" s="50">
        <v>44391</v>
      </c>
      <c r="D44" s="51" t="s">
        <v>594</v>
      </c>
      <c r="E44" s="49" t="s">
        <v>70</v>
      </c>
      <c r="F44" s="49" t="s">
        <v>59</v>
      </c>
      <c r="G44" s="49" t="s">
        <v>174</v>
      </c>
      <c r="H44" s="49" t="s">
        <v>61</v>
      </c>
      <c r="I44" s="50">
        <v>45480</v>
      </c>
      <c r="J44" s="49" t="s">
        <v>404</v>
      </c>
      <c r="K44" s="49" t="s">
        <v>297</v>
      </c>
      <c r="L44" s="49" t="s">
        <v>175</v>
      </c>
      <c r="M44" s="50"/>
      <c r="N44" s="52" t="s">
        <v>1673</v>
      </c>
    </row>
    <row r="45" spans="1:14" s="47" customFormat="1" ht="12" x14ac:dyDescent="0.2">
      <c r="A45" s="48" t="s">
        <v>224</v>
      </c>
      <c r="B45" s="49" t="s">
        <v>225</v>
      </c>
      <c r="C45" s="50">
        <v>41701</v>
      </c>
      <c r="D45" s="51" t="s">
        <v>226</v>
      </c>
      <c r="E45" s="49" t="s">
        <v>70</v>
      </c>
      <c r="F45" s="49" t="s">
        <v>223</v>
      </c>
      <c r="G45" s="49" t="s">
        <v>221</v>
      </c>
      <c r="H45" s="49"/>
      <c r="I45" s="50"/>
      <c r="J45" s="49"/>
      <c r="K45" s="49" t="s">
        <v>227</v>
      </c>
      <c r="L45" s="49"/>
      <c r="M45" s="50"/>
      <c r="N45" s="52"/>
    </row>
    <row r="46" spans="1:14" s="47" customFormat="1" ht="12" x14ac:dyDescent="0.2">
      <c r="A46" s="48" t="s">
        <v>485</v>
      </c>
      <c r="B46" s="49" t="s">
        <v>225</v>
      </c>
      <c r="C46" s="50">
        <v>44795</v>
      </c>
      <c r="D46" s="51" t="s">
        <v>486</v>
      </c>
      <c r="E46" s="49" t="s">
        <v>70</v>
      </c>
      <c r="F46" s="49" t="s">
        <v>223</v>
      </c>
      <c r="G46" s="49" t="s">
        <v>221</v>
      </c>
      <c r="H46" s="49"/>
      <c r="I46" s="50"/>
      <c r="J46" s="49"/>
      <c r="K46" s="49" t="s">
        <v>227</v>
      </c>
      <c r="L46" s="49"/>
      <c r="M46" s="50"/>
      <c r="N46" s="52"/>
    </row>
    <row r="47" spans="1:14" s="47" customFormat="1" ht="12" x14ac:dyDescent="0.2">
      <c r="A47" s="48" t="s">
        <v>196</v>
      </c>
      <c r="B47" s="49" t="s">
        <v>295</v>
      </c>
      <c r="C47" s="50">
        <v>43598</v>
      </c>
      <c r="D47" s="51" t="s">
        <v>237</v>
      </c>
      <c r="E47" s="49" t="s">
        <v>70</v>
      </c>
      <c r="F47" s="49" t="s">
        <v>59</v>
      </c>
      <c r="G47" s="95" t="s">
        <v>334</v>
      </c>
      <c r="H47" s="49"/>
      <c r="I47" s="50"/>
      <c r="J47" s="49"/>
      <c r="K47" s="49" t="s">
        <v>302</v>
      </c>
      <c r="L47" s="49"/>
      <c r="M47" s="50"/>
      <c r="N47" s="52"/>
    </row>
    <row r="48" spans="1:14" s="47" customFormat="1" ht="12" x14ac:dyDescent="0.2">
      <c r="A48" s="53" t="s">
        <v>643</v>
      </c>
      <c r="B48" s="54" t="s">
        <v>644</v>
      </c>
      <c r="C48" s="50">
        <v>45313</v>
      </c>
      <c r="D48" s="55" t="s">
        <v>645</v>
      </c>
      <c r="E48" s="49" t="s">
        <v>73</v>
      </c>
      <c r="F48" s="49" t="s">
        <v>61</v>
      </c>
      <c r="G48" s="49" t="s">
        <v>1674</v>
      </c>
      <c r="H48" s="49"/>
      <c r="I48" s="50"/>
      <c r="J48" s="49"/>
      <c r="K48" s="49" t="s">
        <v>419</v>
      </c>
      <c r="L48" s="49"/>
      <c r="M48" s="50"/>
      <c r="N48" s="52"/>
    </row>
    <row r="49" spans="1:14" s="47" customFormat="1" ht="12" x14ac:dyDescent="0.2">
      <c r="A49" s="48" t="s">
        <v>375</v>
      </c>
      <c r="B49" s="49" t="s">
        <v>376</v>
      </c>
      <c r="C49" s="50">
        <v>44336</v>
      </c>
      <c r="D49" s="51" t="s">
        <v>372</v>
      </c>
      <c r="E49" s="49" t="s">
        <v>70</v>
      </c>
      <c r="F49" s="49" t="s">
        <v>57</v>
      </c>
      <c r="G49" s="49" t="s">
        <v>162</v>
      </c>
      <c r="H49" s="49"/>
      <c r="I49" s="50"/>
      <c r="J49" s="49"/>
      <c r="K49" s="49" t="s">
        <v>239</v>
      </c>
      <c r="L49" s="49"/>
      <c r="M49" s="50"/>
      <c r="N49" s="52"/>
    </row>
    <row r="50" spans="1:14" s="47" customFormat="1" ht="12" x14ac:dyDescent="0.2">
      <c r="A50" s="48" t="s">
        <v>653</v>
      </c>
      <c r="B50" s="49" t="s">
        <v>654</v>
      </c>
      <c r="C50" s="50">
        <v>45365</v>
      </c>
      <c r="D50" s="51" t="s">
        <v>1033</v>
      </c>
      <c r="E50" s="49" t="s">
        <v>70</v>
      </c>
      <c r="F50" s="49" t="s">
        <v>61</v>
      </c>
      <c r="G50" s="49" t="s">
        <v>174</v>
      </c>
      <c r="H50" s="49"/>
      <c r="I50" s="50"/>
      <c r="J50" s="49"/>
      <c r="K50" s="49" t="s">
        <v>419</v>
      </c>
      <c r="L50" s="49"/>
      <c r="M50" s="50"/>
      <c r="N50" s="52" t="s">
        <v>1675</v>
      </c>
    </row>
    <row r="51" spans="1:14" s="47" customFormat="1" ht="12" x14ac:dyDescent="0.2">
      <c r="A51" s="48" t="s">
        <v>671</v>
      </c>
      <c r="B51" s="49" t="s">
        <v>672</v>
      </c>
      <c r="C51" s="50">
        <v>45412</v>
      </c>
      <c r="D51" s="51" t="s">
        <v>673</v>
      </c>
      <c r="E51" s="49" t="s">
        <v>70</v>
      </c>
      <c r="F51" s="49" t="s">
        <v>46</v>
      </c>
      <c r="G51" s="49" t="s">
        <v>1654</v>
      </c>
      <c r="H51" s="49"/>
      <c r="I51" s="50"/>
      <c r="J51" s="49"/>
      <c r="K51" s="49" t="s">
        <v>1655</v>
      </c>
      <c r="L51" s="49"/>
      <c r="M51" s="50"/>
      <c r="N51" s="52"/>
    </row>
    <row r="52" spans="1:14" s="47" customFormat="1" ht="12" x14ac:dyDescent="0.2">
      <c r="A52" s="48" t="s">
        <v>326</v>
      </c>
      <c r="B52" s="49" t="s">
        <v>327</v>
      </c>
      <c r="C52" s="50">
        <v>44006</v>
      </c>
      <c r="D52" s="51" t="s">
        <v>328</v>
      </c>
      <c r="E52" s="49" t="s">
        <v>70</v>
      </c>
      <c r="F52" s="49" t="s">
        <v>55</v>
      </c>
      <c r="G52" s="49" t="s">
        <v>329</v>
      </c>
      <c r="H52" s="49"/>
      <c r="I52" s="50"/>
      <c r="J52" s="49"/>
      <c r="K52" s="49" t="s">
        <v>55</v>
      </c>
      <c r="L52" s="49"/>
      <c r="M52" s="50"/>
      <c r="N52" s="52"/>
    </row>
    <row r="53" spans="1:14" s="47" customFormat="1" ht="12" x14ac:dyDescent="0.2">
      <c r="A53" s="48" t="s">
        <v>433</v>
      </c>
      <c r="B53" s="49" t="s">
        <v>434</v>
      </c>
      <c r="C53" s="50">
        <v>44515</v>
      </c>
      <c r="D53" s="51" t="s">
        <v>318</v>
      </c>
      <c r="E53" s="49" t="s">
        <v>70</v>
      </c>
      <c r="F53" s="49" t="s">
        <v>57</v>
      </c>
      <c r="G53" s="49" t="s">
        <v>536</v>
      </c>
      <c r="H53" s="49"/>
      <c r="I53" s="50"/>
      <c r="J53" s="49"/>
      <c r="K53" s="49" t="s">
        <v>72</v>
      </c>
      <c r="L53" s="49"/>
      <c r="M53" s="50"/>
      <c r="N53" s="52"/>
    </row>
    <row r="54" spans="1:14" s="47" customFormat="1" ht="12" x14ac:dyDescent="0.2">
      <c r="A54" s="48" t="s">
        <v>319</v>
      </c>
      <c r="B54" s="49" t="s">
        <v>320</v>
      </c>
      <c r="C54" s="50">
        <v>43892</v>
      </c>
      <c r="D54" s="51" t="s">
        <v>169</v>
      </c>
      <c r="E54" s="49" t="s">
        <v>70</v>
      </c>
      <c r="F54" s="49" t="s">
        <v>46</v>
      </c>
      <c r="G54" s="49" t="s">
        <v>1668</v>
      </c>
      <c r="H54" s="49"/>
      <c r="I54" s="50"/>
      <c r="J54" s="49"/>
      <c r="K54" s="49" t="s">
        <v>1671</v>
      </c>
      <c r="L54" s="49"/>
      <c r="M54" s="50"/>
      <c r="N54" s="52"/>
    </row>
    <row r="55" spans="1:14" s="47" customFormat="1" ht="12" x14ac:dyDescent="0.2">
      <c r="A55" s="48" t="s">
        <v>641</v>
      </c>
      <c r="B55" s="57" t="s">
        <v>642</v>
      </c>
      <c r="C55" s="58">
        <v>45306</v>
      </c>
      <c r="D55" s="57" t="s">
        <v>318</v>
      </c>
      <c r="E55" s="49" t="s">
        <v>73</v>
      </c>
      <c r="F55" s="49" t="s">
        <v>59</v>
      </c>
      <c r="G55" s="49" t="s">
        <v>400</v>
      </c>
      <c r="H55" s="49" t="s">
        <v>61</v>
      </c>
      <c r="I55" s="50">
        <v>45569</v>
      </c>
      <c r="J55" s="49" t="s">
        <v>549</v>
      </c>
      <c r="K55" s="49" t="s">
        <v>297</v>
      </c>
      <c r="L55" s="49" t="s">
        <v>175</v>
      </c>
      <c r="M55" s="50"/>
      <c r="N55" s="52"/>
    </row>
    <row r="56" spans="1:14" s="47" customFormat="1" ht="12" x14ac:dyDescent="0.2">
      <c r="A56" s="48" t="s">
        <v>559</v>
      </c>
      <c r="B56" s="49" t="s">
        <v>560</v>
      </c>
      <c r="C56" s="50">
        <v>44967</v>
      </c>
      <c r="D56" s="51" t="s">
        <v>1676</v>
      </c>
      <c r="E56" s="49" t="s">
        <v>70</v>
      </c>
      <c r="F56" s="49" t="s">
        <v>223</v>
      </c>
      <c r="G56" s="49" t="s">
        <v>568</v>
      </c>
      <c r="H56" s="49"/>
      <c r="I56" s="50"/>
      <c r="J56" s="49"/>
      <c r="K56" s="49" t="s">
        <v>222</v>
      </c>
      <c r="L56" s="49"/>
      <c r="M56" s="50"/>
      <c r="N56" s="52"/>
    </row>
    <row r="57" spans="1:14" s="47" customFormat="1" ht="12" x14ac:dyDescent="0.2">
      <c r="A57" s="53" t="s">
        <v>575</v>
      </c>
      <c r="B57" s="54" t="s">
        <v>576</v>
      </c>
      <c r="C57" s="50">
        <v>45027</v>
      </c>
      <c r="D57" s="55" t="s">
        <v>577</v>
      </c>
      <c r="E57" s="49" t="s">
        <v>73</v>
      </c>
      <c r="F57" s="49" t="s">
        <v>61</v>
      </c>
      <c r="G57" s="49" t="s">
        <v>667</v>
      </c>
      <c r="H57" s="49"/>
      <c r="I57" s="50"/>
      <c r="J57" s="49"/>
      <c r="K57" s="49" t="s">
        <v>668</v>
      </c>
      <c r="L57" s="49"/>
      <c r="M57" s="50"/>
      <c r="N57" s="52"/>
    </row>
    <row r="58" spans="1:14" s="47" customFormat="1" ht="12" x14ac:dyDescent="0.2">
      <c r="A58" s="56" t="s">
        <v>555</v>
      </c>
      <c r="B58" s="57" t="s">
        <v>556</v>
      </c>
      <c r="C58" s="58">
        <v>44963</v>
      </c>
      <c r="D58" s="57" t="s">
        <v>372</v>
      </c>
      <c r="E58" s="49" t="s">
        <v>73</v>
      </c>
      <c r="F58" s="49" t="s">
        <v>59</v>
      </c>
      <c r="G58" s="49" t="s">
        <v>1663</v>
      </c>
      <c r="H58" s="49" t="s">
        <v>61</v>
      </c>
      <c r="I58" s="50">
        <v>45569</v>
      </c>
      <c r="J58" s="49" t="s">
        <v>549</v>
      </c>
      <c r="K58" s="49" t="s">
        <v>297</v>
      </c>
      <c r="L58" s="49" t="s">
        <v>175</v>
      </c>
      <c r="M58" s="50"/>
      <c r="N58" s="52"/>
    </row>
    <row r="59" spans="1:14" s="47" customFormat="1" ht="13.15" customHeight="1" x14ac:dyDescent="0.2">
      <c r="A59" s="53" t="s">
        <v>547</v>
      </c>
      <c r="B59" s="54" t="s">
        <v>666</v>
      </c>
      <c r="C59" s="50" t="s">
        <v>1677</v>
      </c>
      <c r="D59" s="55" t="s">
        <v>169</v>
      </c>
      <c r="E59" s="49" t="s">
        <v>73</v>
      </c>
      <c r="F59" s="49" t="s">
        <v>61</v>
      </c>
      <c r="G59" s="49" t="s">
        <v>667</v>
      </c>
      <c r="H59" s="49"/>
      <c r="I59" s="50"/>
      <c r="J59" s="49"/>
      <c r="K59" s="49" t="s">
        <v>668</v>
      </c>
      <c r="L59" s="49" t="s">
        <v>249</v>
      </c>
      <c r="M59" s="50"/>
      <c r="N59" s="52"/>
    </row>
    <row r="60" spans="1:14" s="47" customFormat="1" ht="12" x14ac:dyDescent="0.2">
      <c r="A60" s="53" t="s">
        <v>339</v>
      </c>
      <c r="B60" s="54" t="s">
        <v>340</v>
      </c>
      <c r="C60" s="50">
        <v>44075</v>
      </c>
      <c r="D60" s="55" t="s">
        <v>341</v>
      </c>
      <c r="E60" s="49" t="s">
        <v>73</v>
      </c>
      <c r="F60" s="49" t="s">
        <v>61</v>
      </c>
      <c r="G60" s="49" t="s">
        <v>174</v>
      </c>
      <c r="H60" s="49"/>
      <c r="I60" s="50"/>
      <c r="J60" s="49"/>
      <c r="K60" s="49" t="s">
        <v>419</v>
      </c>
      <c r="L60" s="49" t="s">
        <v>343</v>
      </c>
      <c r="M60" s="50"/>
      <c r="N60" s="52"/>
    </row>
    <row r="61" spans="1:14" s="47" customFormat="1" ht="12" x14ac:dyDescent="0.2">
      <c r="A61" s="48" t="s">
        <v>443</v>
      </c>
      <c r="B61" s="49" t="s">
        <v>444</v>
      </c>
      <c r="C61" s="50">
        <v>44547</v>
      </c>
      <c r="D61" s="51" t="s">
        <v>445</v>
      </c>
      <c r="E61" s="49" t="s">
        <v>70</v>
      </c>
      <c r="F61" s="49" t="s">
        <v>46</v>
      </c>
      <c r="G61" s="49" t="s">
        <v>187</v>
      </c>
      <c r="H61" s="49"/>
      <c r="I61" s="50"/>
      <c r="J61" s="49"/>
      <c r="K61" s="49" t="s">
        <v>46</v>
      </c>
      <c r="L61" s="49"/>
      <c r="M61" s="50"/>
      <c r="N61" s="52"/>
    </row>
    <row r="62" spans="1:14" s="47" customFormat="1" ht="12" x14ac:dyDescent="0.2">
      <c r="A62" s="48" t="s">
        <v>199</v>
      </c>
      <c r="B62" s="49" t="s">
        <v>200</v>
      </c>
      <c r="C62" s="50">
        <v>41171</v>
      </c>
      <c r="D62" s="51" t="s">
        <v>201</v>
      </c>
      <c r="E62" s="49" t="s">
        <v>70</v>
      </c>
      <c r="F62" s="49" t="s">
        <v>46</v>
      </c>
      <c r="G62" s="49" t="s">
        <v>187</v>
      </c>
      <c r="H62" s="49"/>
      <c r="I62" s="50"/>
      <c r="J62" s="49"/>
      <c r="K62" s="49" t="s">
        <v>1678</v>
      </c>
      <c r="L62" s="49"/>
      <c r="M62" s="50"/>
      <c r="N62" s="52"/>
    </row>
    <row r="63" spans="1:14" s="47" customFormat="1" ht="12" x14ac:dyDescent="0.2">
      <c r="A63" s="48" t="s">
        <v>618</v>
      </c>
      <c r="B63" s="49" t="s">
        <v>619</v>
      </c>
      <c r="C63" s="50">
        <v>45200</v>
      </c>
      <c r="D63" s="51" t="s">
        <v>206</v>
      </c>
      <c r="E63" s="49" t="s">
        <v>70</v>
      </c>
      <c r="F63" s="49" t="s">
        <v>57</v>
      </c>
      <c r="G63" s="49" t="s">
        <v>162</v>
      </c>
      <c r="H63" s="49"/>
      <c r="I63" s="50"/>
      <c r="J63" s="49"/>
      <c r="K63" s="49" t="s">
        <v>163</v>
      </c>
      <c r="L63" s="49"/>
      <c r="M63" s="50"/>
      <c r="N63" s="52"/>
    </row>
    <row r="64" spans="1:14" s="47" customFormat="1" ht="12" x14ac:dyDescent="0.2">
      <c r="A64" s="48" t="s">
        <v>196</v>
      </c>
      <c r="B64" s="49" t="s">
        <v>197</v>
      </c>
      <c r="C64" s="50">
        <v>41120</v>
      </c>
      <c r="D64" s="51" t="s">
        <v>1619</v>
      </c>
      <c r="E64" s="49" t="s">
        <v>70</v>
      </c>
      <c r="F64" s="49" t="s">
        <v>60</v>
      </c>
      <c r="G64" s="49" t="s">
        <v>147</v>
      </c>
      <c r="H64" s="49"/>
      <c r="I64" s="50"/>
      <c r="J64" s="49"/>
      <c r="K64" s="49" t="s">
        <v>60</v>
      </c>
      <c r="L64" s="49"/>
      <c r="M64" s="50"/>
      <c r="N64" s="52"/>
    </row>
    <row r="65" spans="1:14" s="47" customFormat="1" ht="12" x14ac:dyDescent="0.2">
      <c r="A65" s="48" t="s">
        <v>269</v>
      </c>
      <c r="B65" s="49" t="s">
        <v>1062</v>
      </c>
      <c r="C65" s="50">
        <v>43196</v>
      </c>
      <c r="D65" s="51" t="s">
        <v>271</v>
      </c>
      <c r="E65" s="49" t="s">
        <v>70</v>
      </c>
      <c r="F65" s="49" t="s">
        <v>223</v>
      </c>
      <c r="G65" s="49" t="s">
        <v>221</v>
      </c>
      <c r="H65" s="49"/>
      <c r="I65" s="50"/>
      <c r="J65" s="49"/>
      <c r="K65" s="49" t="s">
        <v>272</v>
      </c>
      <c r="L65" s="49"/>
      <c r="M65" s="50"/>
      <c r="N65" s="52"/>
    </row>
    <row r="66" spans="1:14" s="47" customFormat="1" ht="12" x14ac:dyDescent="0.2">
      <c r="A66" s="48" t="s">
        <v>171</v>
      </c>
      <c r="B66" s="49" t="s">
        <v>454</v>
      </c>
      <c r="C66" s="50">
        <v>44641</v>
      </c>
      <c r="D66" s="51" t="s">
        <v>455</v>
      </c>
      <c r="E66" s="49" t="s">
        <v>70</v>
      </c>
      <c r="F66" s="49" t="s">
        <v>46</v>
      </c>
      <c r="G66" s="49" t="s">
        <v>157</v>
      </c>
      <c r="H66" s="49"/>
      <c r="I66" s="50"/>
      <c r="J66" s="49"/>
      <c r="K66" s="49" t="s">
        <v>46</v>
      </c>
      <c r="L66" s="49"/>
      <c r="M66" s="50"/>
      <c r="N66" s="52"/>
    </row>
    <row r="67" spans="1:14" s="47" customFormat="1" ht="12" x14ac:dyDescent="0.2">
      <c r="A67" s="48" t="s">
        <v>183</v>
      </c>
      <c r="B67" s="49" t="s">
        <v>184</v>
      </c>
      <c r="C67" s="50">
        <v>39958</v>
      </c>
      <c r="D67" s="51" t="s">
        <v>185</v>
      </c>
      <c r="E67" s="49" t="s">
        <v>70</v>
      </c>
      <c r="F67" s="49" t="s">
        <v>46</v>
      </c>
      <c r="G67" s="49" t="s">
        <v>187</v>
      </c>
      <c r="H67" s="49"/>
      <c r="I67" s="50"/>
      <c r="J67" s="49"/>
      <c r="K67" s="49" t="s">
        <v>46</v>
      </c>
      <c r="L67" s="49"/>
      <c r="M67" s="50"/>
      <c r="N67" s="52"/>
    </row>
    <row r="68" spans="1:14" s="47" customFormat="1" ht="12" x14ac:dyDescent="0.2">
      <c r="A68" s="48" t="s">
        <v>358</v>
      </c>
      <c r="B68" s="49" t="s">
        <v>359</v>
      </c>
      <c r="C68" s="50">
        <v>44249</v>
      </c>
      <c r="D68" s="51" t="s">
        <v>169</v>
      </c>
      <c r="E68" s="49" t="s">
        <v>1679</v>
      </c>
      <c r="F68" s="49" t="s">
        <v>46</v>
      </c>
      <c r="G68" s="49" t="s">
        <v>1668</v>
      </c>
      <c r="H68" s="49"/>
      <c r="I68" s="50"/>
      <c r="J68" s="49"/>
      <c r="K68" s="49" t="s">
        <v>1671</v>
      </c>
      <c r="L68" s="49"/>
      <c r="M68" s="50"/>
      <c r="N68" s="52" t="s">
        <v>1680</v>
      </c>
    </row>
    <row r="69" spans="1:14" s="47" customFormat="1" ht="12" x14ac:dyDescent="0.2">
      <c r="A69" s="48" t="s">
        <v>493</v>
      </c>
      <c r="B69" s="49" t="s">
        <v>494</v>
      </c>
      <c r="C69" s="50">
        <v>44823</v>
      </c>
      <c r="D69" s="51" t="s">
        <v>173</v>
      </c>
      <c r="E69" s="49" t="s">
        <v>70</v>
      </c>
      <c r="F69" s="49" t="s">
        <v>57</v>
      </c>
      <c r="G69" s="49" t="s">
        <v>238</v>
      </c>
      <c r="H69" s="49"/>
      <c r="I69" s="50"/>
      <c r="J69" s="49"/>
      <c r="K69" s="49" t="s">
        <v>617</v>
      </c>
      <c r="L69" s="49"/>
      <c r="M69" s="50"/>
      <c r="N69" s="52"/>
    </row>
    <row r="70" spans="1:14" s="47" customFormat="1" ht="12" x14ac:dyDescent="0.2">
      <c r="A70" s="48" t="s">
        <v>537</v>
      </c>
      <c r="B70" s="49" t="s">
        <v>396</v>
      </c>
      <c r="C70" s="50">
        <v>44890</v>
      </c>
      <c r="D70" s="51" t="s">
        <v>1681</v>
      </c>
      <c r="E70" s="49" t="s">
        <v>70</v>
      </c>
      <c r="F70" s="49" t="s">
        <v>57</v>
      </c>
      <c r="G70" s="49" t="s">
        <v>490</v>
      </c>
      <c r="H70" s="49"/>
      <c r="I70" s="50"/>
      <c r="J70" s="49"/>
      <c r="K70" s="49" t="s">
        <v>1670</v>
      </c>
      <c r="L70" s="49"/>
      <c r="M70" s="50"/>
      <c r="N70" s="52"/>
    </row>
    <row r="71" spans="1:14" s="47" customFormat="1" ht="12" x14ac:dyDescent="0.2">
      <c r="A71" s="48" t="s">
        <v>395</v>
      </c>
      <c r="B71" s="49" t="s">
        <v>396</v>
      </c>
      <c r="C71" s="50">
        <v>44361</v>
      </c>
      <c r="D71" s="51" t="s">
        <v>397</v>
      </c>
      <c r="E71" s="49" t="s">
        <v>70</v>
      </c>
      <c r="F71" s="49" t="s">
        <v>61</v>
      </c>
      <c r="G71" s="49" t="s">
        <v>174</v>
      </c>
      <c r="H71" s="49"/>
      <c r="I71" s="50"/>
      <c r="J71" s="49"/>
      <c r="K71" s="49" t="s">
        <v>419</v>
      </c>
      <c r="L71" s="49"/>
      <c r="M71" s="50"/>
      <c r="N71" s="52"/>
    </row>
    <row r="72" spans="1:14" s="47" customFormat="1" ht="12" x14ac:dyDescent="0.2">
      <c r="A72" s="48" t="s">
        <v>171</v>
      </c>
      <c r="B72" s="49" t="s">
        <v>396</v>
      </c>
      <c r="C72" s="50">
        <v>44515</v>
      </c>
      <c r="D72" s="51" t="s">
        <v>432</v>
      </c>
      <c r="E72" s="49" t="s">
        <v>70</v>
      </c>
      <c r="F72" s="49" t="s">
        <v>61</v>
      </c>
      <c r="G72" s="49" t="s">
        <v>314</v>
      </c>
      <c r="H72" s="49"/>
      <c r="I72" s="50"/>
      <c r="J72" s="49"/>
      <c r="K72" s="49" t="s">
        <v>175</v>
      </c>
      <c r="L72" s="49"/>
      <c r="M72" s="50"/>
      <c r="N72" s="52"/>
    </row>
    <row r="73" spans="1:14" s="47" customFormat="1" ht="12" x14ac:dyDescent="0.2">
      <c r="A73" s="48" t="s">
        <v>635</v>
      </c>
      <c r="B73" s="49" t="s">
        <v>636</v>
      </c>
      <c r="C73" s="50">
        <v>45279</v>
      </c>
      <c r="D73" s="51" t="s">
        <v>637</v>
      </c>
      <c r="E73" s="49" t="s">
        <v>70</v>
      </c>
      <c r="F73" s="49" t="s">
        <v>46</v>
      </c>
      <c r="G73" s="49" t="s">
        <v>1654</v>
      </c>
      <c r="H73" s="49"/>
      <c r="I73" s="50"/>
      <c r="J73" s="49"/>
      <c r="K73" s="49" t="s">
        <v>284</v>
      </c>
      <c r="L73" s="49"/>
      <c r="M73" s="50"/>
      <c r="N73" s="52" t="s">
        <v>1682</v>
      </c>
    </row>
    <row r="74" spans="1:14" s="47" customFormat="1" ht="12" x14ac:dyDescent="0.2">
      <c r="A74" s="48" t="s">
        <v>261</v>
      </c>
      <c r="B74" s="49" t="s">
        <v>300</v>
      </c>
      <c r="C74" s="50">
        <v>43059</v>
      </c>
      <c r="D74" s="51" t="s">
        <v>206</v>
      </c>
      <c r="E74" s="49" t="s">
        <v>70</v>
      </c>
      <c r="F74" s="49" t="s">
        <v>57</v>
      </c>
      <c r="G74" s="49" t="s">
        <v>536</v>
      </c>
      <c r="H74" s="49"/>
      <c r="I74" s="50"/>
      <c r="J74" s="49"/>
      <c r="K74" s="49" t="s">
        <v>72</v>
      </c>
      <c r="L74" s="49"/>
      <c r="M74" s="50"/>
      <c r="N74" s="52"/>
    </row>
    <row r="75" spans="1:14" s="47" customFormat="1" ht="12" x14ac:dyDescent="0.2">
      <c r="A75" s="48" t="s">
        <v>299</v>
      </c>
      <c r="B75" s="49" t="s">
        <v>300</v>
      </c>
      <c r="C75" s="50">
        <v>43605</v>
      </c>
      <c r="D75" s="51" t="s">
        <v>1683</v>
      </c>
      <c r="E75" s="49" t="s">
        <v>70</v>
      </c>
      <c r="F75" s="49" t="s">
        <v>59</v>
      </c>
      <c r="G75" s="49" t="s">
        <v>334</v>
      </c>
      <c r="H75" s="49"/>
      <c r="I75" s="50"/>
      <c r="J75" s="49"/>
      <c r="K75" s="49" t="s">
        <v>302</v>
      </c>
      <c r="L75" s="49"/>
      <c r="M75" s="50"/>
      <c r="N75" s="52"/>
    </row>
    <row r="76" spans="1:14" s="47" customFormat="1" ht="12" x14ac:dyDescent="0.2">
      <c r="A76" s="48" t="s">
        <v>680</v>
      </c>
      <c r="B76" s="49" t="s">
        <v>300</v>
      </c>
      <c r="C76" s="50">
        <v>45439</v>
      </c>
      <c r="D76" s="51" t="s">
        <v>169</v>
      </c>
      <c r="E76" s="49" t="s">
        <v>70</v>
      </c>
      <c r="F76" s="49" t="s">
        <v>59</v>
      </c>
      <c r="G76" s="49" t="s">
        <v>1663</v>
      </c>
      <c r="H76" s="49"/>
      <c r="I76" s="50"/>
      <c r="J76" s="49"/>
      <c r="K76" s="49" t="s">
        <v>1664</v>
      </c>
      <c r="L76" s="49"/>
      <c r="M76" s="50"/>
      <c r="N76" s="52"/>
    </row>
    <row r="77" spans="1:14" s="47" customFormat="1" ht="12" x14ac:dyDescent="0.2">
      <c r="A77" s="53" t="s">
        <v>550</v>
      </c>
      <c r="B77" s="54" t="s">
        <v>551</v>
      </c>
      <c r="C77" s="50">
        <v>44963</v>
      </c>
      <c r="D77" s="55" t="s">
        <v>169</v>
      </c>
      <c r="E77" s="49" t="s">
        <v>73</v>
      </c>
      <c r="F77" s="49" t="s">
        <v>59</v>
      </c>
      <c r="G77" s="49" t="s">
        <v>1663</v>
      </c>
      <c r="H77" s="49" t="s">
        <v>61</v>
      </c>
      <c r="I77" s="50">
        <v>45569</v>
      </c>
      <c r="J77" s="49" t="s">
        <v>549</v>
      </c>
      <c r="K77" s="49" t="s">
        <v>297</v>
      </c>
      <c r="L77" s="49" t="s">
        <v>175</v>
      </c>
      <c r="M77" s="50"/>
      <c r="N77" s="52"/>
    </row>
    <row r="78" spans="1:14" s="47" customFormat="1" ht="12" x14ac:dyDescent="0.2">
      <c r="A78" s="48" t="s">
        <v>525</v>
      </c>
      <c r="B78" s="49" t="s">
        <v>526</v>
      </c>
      <c r="C78" s="50">
        <v>44879</v>
      </c>
      <c r="D78" s="51" t="s">
        <v>432</v>
      </c>
      <c r="E78" s="49" t="s">
        <v>70</v>
      </c>
      <c r="F78" s="49" t="s">
        <v>57</v>
      </c>
      <c r="G78" s="49" t="s">
        <v>231</v>
      </c>
      <c r="H78" s="49"/>
      <c r="I78" s="50"/>
      <c r="J78" s="49"/>
      <c r="K78" s="49" t="s">
        <v>72</v>
      </c>
      <c r="L78" s="49"/>
      <c r="M78" s="50"/>
      <c r="N78" s="52"/>
    </row>
    <row r="79" spans="1:14" s="47" customFormat="1" ht="12" x14ac:dyDescent="0.2">
      <c r="A79" s="48" t="s">
        <v>483</v>
      </c>
      <c r="B79" s="49" t="s">
        <v>484</v>
      </c>
      <c r="C79" s="50">
        <v>44790</v>
      </c>
      <c r="D79" s="51" t="s">
        <v>372</v>
      </c>
      <c r="E79" s="49" t="s">
        <v>70</v>
      </c>
      <c r="F79" s="49" t="s">
        <v>61</v>
      </c>
      <c r="G79" s="49" t="s">
        <v>314</v>
      </c>
      <c r="H79" s="49"/>
      <c r="I79" s="50"/>
      <c r="J79" s="49"/>
      <c r="K79" s="49" t="s">
        <v>1684</v>
      </c>
      <c r="L79" s="49" t="s">
        <v>249</v>
      </c>
      <c r="M79" s="50"/>
      <c r="N79" s="52" t="s">
        <v>1685</v>
      </c>
    </row>
    <row r="80" spans="1:14" s="47" customFormat="1" ht="12" x14ac:dyDescent="0.2">
      <c r="A80" s="48" t="s">
        <v>615</v>
      </c>
      <c r="B80" s="49" t="s">
        <v>616</v>
      </c>
      <c r="C80" s="50">
        <v>45566</v>
      </c>
      <c r="D80" s="51" t="s">
        <v>464</v>
      </c>
      <c r="E80" s="49" t="s">
        <v>70</v>
      </c>
      <c r="F80" s="49" t="s">
        <v>57</v>
      </c>
      <c r="G80" s="49" t="s">
        <v>238</v>
      </c>
      <c r="H80" s="49"/>
      <c r="I80" s="50"/>
      <c r="J80" s="49"/>
      <c r="K80" s="49" t="s">
        <v>617</v>
      </c>
      <c r="L80" s="49"/>
      <c r="M80" s="50"/>
      <c r="N80" s="52"/>
    </row>
    <row r="81" spans="1:14" s="47" customFormat="1" ht="12" x14ac:dyDescent="0.2">
      <c r="A81" s="48" t="s">
        <v>316</v>
      </c>
      <c r="B81" s="49" t="s">
        <v>317</v>
      </c>
      <c r="C81" s="50">
        <v>43861</v>
      </c>
      <c r="D81" s="51" t="s">
        <v>1140</v>
      </c>
      <c r="E81" s="49" t="s">
        <v>70</v>
      </c>
      <c r="F81" s="49" t="s">
        <v>46</v>
      </c>
      <c r="G81" s="49" t="s">
        <v>207</v>
      </c>
      <c r="H81" s="49"/>
      <c r="I81" s="50"/>
      <c r="J81" s="49"/>
      <c r="K81" s="49" t="s">
        <v>1669</v>
      </c>
      <c r="L81" s="49"/>
      <c r="M81" s="50"/>
      <c r="N81" s="52"/>
    </row>
    <row r="82" spans="1:14" s="47" customFormat="1" ht="12" x14ac:dyDescent="0.2">
      <c r="A82" s="48" t="s">
        <v>469</v>
      </c>
      <c r="B82" s="49" t="s">
        <v>470</v>
      </c>
      <c r="C82" s="50">
        <v>44725</v>
      </c>
      <c r="D82" s="51" t="s">
        <v>471</v>
      </c>
      <c r="E82" s="49" t="s">
        <v>70</v>
      </c>
      <c r="F82" s="49" t="s">
        <v>46</v>
      </c>
      <c r="G82" s="49" t="s">
        <v>187</v>
      </c>
      <c r="H82" s="49"/>
      <c r="I82" s="50"/>
      <c r="J82" s="49"/>
      <c r="K82" s="49" t="s">
        <v>1678</v>
      </c>
      <c r="L82" s="49"/>
      <c r="M82" s="50"/>
      <c r="N82" s="52"/>
    </row>
    <row r="83" spans="1:14" s="47" customFormat="1" ht="12" x14ac:dyDescent="0.2">
      <c r="A83" s="53" t="s">
        <v>669</v>
      </c>
      <c r="B83" s="54" t="s">
        <v>670</v>
      </c>
      <c r="C83" s="50" t="s">
        <v>1677</v>
      </c>
      <c r="D83" s="55" t="s">
        <v>169</v>
      </c>
      <c r="E83" s="49" t="s">
        <v>73</v>
      </c>
      <c r="F83" s="49" t="s">
        <v>61</v>
      </c>
      <c r="G83" s="49" t="s">
        <v>667</v>
      </c>
      <c r="H83" s="49"/>
      <c r="I83" s="50"/>
      <c r="J83" s="49"/>
      <c r="K83" s="49" t="s">
        <v>668</v>
      </c>
      <c r="L83" s="49" t="s">
        <v>249</v>
      </c>
      <c r="M83" s="50"/>
      <c r="N83" s="52"/>
    </row>
    <row r="84" spans="1:14" s="47" customFormat="1" ht="12" x14ac:dyDescent="0.2">
      <c r="A84" s="48" t="s">
        <v>578</v>
      </c>
      <c r="B84" s="49" t="s">
        <v>579</v>
      </c>
      <c r="C84" s="50">
        <v>45033</v>
      </c>
      <c r="D84" s="51" t="s">
        <v>580</v>
      </c>
      <c r="E84" s="49" t="s">
        <v>70</v>
      </c>
      <c r="F84" s="49" t="s">
        <v>223</v>
      </c>
      <c r="G84" s="49" t="s">
        <v>582</v>
      </c>
      <c r="H84" s="49"/>
      <c r="I84" s="50"/>
      <c r="J84" s="49"/>
      <c r="K84" s="49" t="s">
        <v>581</v>
      </c>
      <c r="L84" s="49"/>
      <c r="M84" s="50"/>
      <c r="N84" s="52"/>
    </row>
    <row r="85" spans="1:14" s="47" customFormat="1" ht="12" x14ac:dyDescent="0.2">
      <c r="A85" s="48" t="s">
        <v>1686</v>
      </c>
      <c r="B85" s="49" t="s">
        <v>566</v>
      </c>
      <c r="C85" s="50">
        <v>44968</v>
      </c>
      <c r="D85" s="51" t="s">
        <v>567</v>
      </c>
      <c r="E85" s="49" t="s">
        <v>70</v>
      </c>
      <c r="F85" s="49" t="s">
        <v>223</v>
      </c>
      <c r="G85" s="49" t="s">
        <v>568</v>
      </c>
      <c r="H85" s="49"/>
      <c r="I85" s="50"/>
      <c r="J85" s="49"/>
      <c r="K85" s="49" t="s">
        <v>222</v>
      </c>
      <c r="L85" s="49"/>
      <c r="M85" s="50"/>
      <c r="N85" s="52"/>
    </row>
    <row r="86" spans="1:14" s="47" customFormat="1" ht="12" x14ac:dyDescent="0.2">
      <c r="A86" s="48" t="s">
        <v>311</v>
      </c>
      <c r="B86" s="49" t="s">
        <v>312</v>
      </c>
      <c r="C86" s="50">
        <v>43784</v>
      </c>
      <c r="D86" s="51" t="s">
        <v>169</v>
      </c>
      <c r="E86" s="49" t="s">
        <v>70</v>
      </c>
      <c r="F86" s="49" t="s">
        <v>57</v>
      </c>
      <c r="G86" s="49" t="s">
        <v>231</v>
      </c>
      <c r="H86" s="49" t="s">
        <v>61</v>
      </c>
      <c r="I86" s="50">
        <v>45537</v>
      </c>
      <c r="J86" s="49" t="s">
        <v>1687</v>
      </c>
      <c r="K86" s="49" t="s">
        <v>72</v>
      </c>
      <c r="L86" s="49" t="s">
        <v>175</v>
      </c>
      <c r="M86" s="50"/>
      <c r="N86" s="52" t="s">
        <v>442</v>
      </c>
    </row>
    <row r="87" spans="1:14" s="47" customFormat="1" ht="12" x14ac:dyDescent="0.2">
      <c r="A87" s="48" t="s">
        <v>171</v>
      </c>
      <c r="B87" s="49" t="s">
        <v>172</v>
      </c>
      <c r="C87" s="50">
        <v>38551</v>
      </c>
      <c r="D87" s="51" t="s">
        <v>173</v>
      </c>
      <c r="E87" s="49" t="s">
        <v>70</v>
      </c>
      <c r="F87" s="49" t="s">
        <v>61</v>
      </c>
      <c r="G87" s="49" t="s">
        <v>174</v>
      </c>
      <c r="H87" s="49"/>
      <c r="I87" s="50"/>
      <c r="J87" s="49"/>
      <c r="K87" s="49" t="s">
        <v>419</v>
      </c>
      <c r="L87" s="49"/>
      <c r="M87" s="50"/>
      <c r="N87" s="52"/>
    </row>
    <row r="88" spans="1:14" s="47" customFormat="1" ht="12" x14ac:dyDescent="0.2">
      <c r="A88" s="48" t="s">
        <v>429</v>
      </c>
      <c r="B88" s="49" t="s">
        <v>430</v>
      </c>
      <c r="C88" s="50">
        <v>44501</v>
      </c>
      <c r="D88" s="51" t="s">
        <v>169</v>
      </c>
      <c r="E88" s="49" t="s">
        <v>70</v>
      </c>
      <c r="F88" s="49" t="s">
        <v>57</v>
      </c>
      <c r="G88" s="49" t="s">
        <v>231</v>
      </c>
      <c r="H88" s="49"/>
      <c r="I88" s="50"/>
      <c r="J88" s="49"/>
      <c r="K88" s="49" t="s">
        <v>72</v>
      </c>
      <c r="L88" s="49"/>
      <c r="M88" s="50"/>
      <c r="N88" s="52"/>
    </row>
    <row r="89" spans="1:14" s="47" customFormat="1" ht="12" x14ac:dyDescent="0.2">
      <c r="A89" s="48" t="s">
        <v>209</v>
      </c>
      <c r="B89" s="49" t="s">
        <v>210</v>
      </c>
      <c r="C89" s="50">
        <v>41641</v>
      </c>
      <c r="D89" s="51" t="s">
        <v>211</v>
      </c>
      <c r="E89" s="49" t="s">
        <v>70</v>
      </c>
      <c r="F89" s="49" t="s">
        <v>1688</v>
      </c>
      <c r="G89" s="49" t="s">
        <v>147</v>
      </c>
      <c r="H89" s="49"/>
      <c r="I89" s="50"/>
      <c r="J89" s="49"/>
      <c r="K89" s="49" t="s">
        <v>60</v>
      </c>
      <c r="L89" s="49"/>
      <c r="M89" s="50"/>
      <c r="N89" s="52"/>
    </row>
    <row r="90" spans="1:14" s="47" customFormat="1" ht="12" x14ac:dyDescent="0.2">
      <c r="A90" s="48" t="s">
        <v>623</v>
      </c>
      <c r="B90" s="49" t="s">
        <v>624</v>
      </c>
      <c r="C90" s="50">
        <v>45215</v>
      </c>
      <c r="D90" s="51" t="s">
        <v>386</v>
      </c>
      <c r="E90" s="49" t="s">
        <v>70</v>
      </c>
      <c r="F90" s="49" t="s">
        <v>57</v>
      </c>
      <c r="G90" s="49" t="s">
        <v>1689</v>
      </c>
      <c r="H90" s="49"/>
      <c r="I90" s="50"/>
      <c r="J90" s="49"/>
      <c r="K90" s="49" t="s">
        <v>617</v>
      </c>
      <c r="L90" s="49"/>
      <c r="M90" s="50"/>
      <c r="N90" s="52"/>
    </row>
    <row r="91" spans="1:14" s="47" customFormat="1" ht="12" x14ac:dyDescent="0.2">
      <c r="A91" s="48" t="s">
        <v>258</v>
      </c>
      <c r="B91" s="49" t="s">
        <v>259</v>
      </c>
      <c r="C91" s="50">
        <v>43024</v>
      </c>
      <c r="D91" s="51" t="s">
        <v>260</v>
      </c>
      <c r="E91" s="49" t="s">
        <v>70</v>
      </c>
      <c r="F91" s="49" t="s">
        <v>223</v>
      </c>
      <c r="G91" s="49" t="s">
        <v>221</v>
      </c>
      <c r="H91" s="49"/>
      <c r="I91" s="50"/>
      <c r="J91" s="49"/>
      <c r="K91" s="49" t="s">
        <v>1690</v>
      </c>
      <c r="L91" s="49"/>
      <c r="M91" s="50"/>
      <c r="N91" s="52"/>
    </row>
    <row r="92" spans="1:14" s="47" customFormat="1" ht="12" x14ac:dyDescent="0.2">
      <c r="A92" s="48" t="s">
        <v>541</v>
      </c>
      <c r="B92" s="49" t="s">
        <v>542</v>
      </c>
      <c r="C92" s="50">
        <v>44942</v>
      </c>
      <c r="D92" s="51" t="s">
        <v>1510</v>
      </c>
      <c r="E92" s="49" t="s">
        <v>70</v>
      </c>
      <c r="F92" s="49" t="s">
        <v>61</v>
      </c>
      <c r="G92" s="49" t="s">
        <v>1691</v>
      </c>
      <c r="H92" s="49"/>
      <c r="I92" s="50"/>
      <c r="J92" s="49"/>
      <c r="K92" s="49" t="s">
        <v>419</v>
      </c>
      <c r="L92" s="49"/>
      <c r="M92" s="50"/>
      <c r="N92" s="52"/>
    </row>
    <row r="93" spans="1:14" s="47" customFormat="1" ht="12" x14ac:dyDescent="0.2">
      <c r="A93" s="48" t="s">
        <v>390</v>
      </c>
      <c r="B93" s="49" t="s">
        <v>391</v>
      </c>
      <c r="C93" s="50">
        <v>44359</v>
      </c>
      <c r="D93" s="51" t="s">
        <v>169</v>
      </c>
      <c r="E93" s="49" t="s">
        <v>70</v>
      </c>
      <c r="F93" s="49" t="s">
        <v>59</v>
      </c>
      <c r="G93" s="49" t="s">
        <v>314</v>
      </c>
      <c r="H93" s="49" t="s">
        <v>61</v>
      </c>
      <c r="I93" s="88">
        <v>45467</v>
      </c>
      <c r="J93" s="49" t="s">
        <v>392</v>
      </c>
      <c r="K93" s="49" t="s">
        <v>343</v>
      </c>
      <c r="L93" s="49" t="s">
        <v>393</v>
      </c>
      <c r="M93" s="50"/>
      <c r="N93" s="52" t="s">
        <v>394</v>
      </c>
    </row>
    <row r="94" spans="1:14" s="47" customFormat="1" ht="12" x14ac:dyDescent="0.2">
      <c r="A94" s="48" t="s">
        <v>285</v>
      </c>
      <c r="B94" s="49" t="s">
        <v>286</v>
      </c>
      <c r="C94" s="50">
        <v>43472</v>
      </c>
      <c r="D94" s="51" t="s">
        <v>287</v>
      </c>
      <c r="E94" s="49" t="s">
        <v>70</v>
      </c>
      <c r="F94" s="49" t="s">
        <v>223</v>
      </c>
      <c r="G94" s="49" t="s">
        <v>288</v>
      </c>
      <c r="H94" s="49"/>
      <c r="I94" s="50"/>
      <c r="J94" s="49"/>
      <c r="K94" s="49" t="s">
        <v>272</v>
      </c>
      <c r="L94" s="49"/>
      <c r="M94" s="50"/>
      <c r="N94" s="52"/>
    </row>
    <row r="95" spans="1:14" s="47" customFormat="1" ht="12" x14ac:dyDescent="0.2">
      <c r="A95" s="48" t="s">
        <v>335</v>
      </c>
      <c r="B95" s="49" t="s">
        <v>360</v>
      </c>
      <c r="C95" s="50">
        <v>44270</v>
      </c>
      <c r="D95" s="51" t="s">
        <v>206</v>
      </c>
      <c r="E95" s="49" t="s">
        <v>70</v>
      </c>
      <c r="F95" s="49" t="s">
        <v>46</v>
      </c>
      <c r="G95" s="49" t="s">
        <v>207</v>
      </c>
      <c r="H95" s="49"/>
      <c r="I95" s="50"/>
      <c r="J95" s="49"/>
      <c r="K95" s="49" t="s">
        <v>1669</v>
      </c>
      <c r="L95" s="49"/>
      <c r="M95" s="50"/>
      <c r="N95" s="52"/>
    </row>
    <row r="96" spans="1:14" s="47" customFormat="1" ht="12" x14ac:dyDescent="0.2">
      <c r="A96" s="48" t="s">
        <v>650</v>
      </c>
      <c r="B96" s="49" t="s">
        <v>651</v>
      </c>
      <c r="C96" s="50">
        <v>45629</v>
      </c>
      <c r="D96" s="51" t="s">
        <v>1692</v>
      </c>
      <c r="E96" s="49" t="s">
        <v>70</v>
      </c>
      <c r="F96" s="49" t="s">
        <v>223</v>
      </c>
      <c r="G96" s="49" t="s">
        <v>288</v>
      </c>
      <c r="H96" s="49"/>
      <c r="I96" s="50"/>
      <c r="J96" s="49"/>
      <c r="K96" s="49" t="s">
        <v>272</v>
      </c>
      <c r="L96" s="49"/>
      <c r="M96" s="50"/>
      <c r="N96" s="52"/>
    </row>
    <row r="97" spans="1:14" s="47" customFormat="1" ht="12" x14ac:dyDescent="0.2">
      <c r="A97" s="48" t="s">
        <v>367</v>
      </c>
      <c r="B97" s="49" t="s">
        <v>368</v>
      </c>
      <c r="C97" s="50">
        <v>44329</v>
      </c>
      <c r="D97" s="51" t="s">
        <v>169</v>
      </c>
      <c r="E97" s="49" t="s">
        <v>1679</v>
      </c>
      <c r="F97" s="49" t="s">
        <v>46</v>
      </c>
      <c r="G97" s="49" t="s">
        <v>1668</v>
      </c>
      <c r="H97" s="49"/>
      <c r="I97" s="50"/>
      <c r="J97" s="49"/>
      <c r="K97" s="49" t="s">
        <v>1671</v>
      </c>
      <c r="L97" s="49"/>
      <c r="M97" s="50"/>
      <c r="N97" s="52" t="s">
        <v>369</v>
      </c>
    </row>
    <row r="98" spans="1:14" s="47" customFormat="1" ht="12" x14ac:dyDescent="0.2">
      <c r="A98" s="53" t="s">
        <v>478</v>
      </c>
      <c r="B98" s="54" t="s">
        <v>479</v>
      </c>
      <c r="C98" s="50">
        <v>44774</v>
      </c>
      <c r="D98" s="55" t="s">
        <v>480</v>
      </c>
      <c r="E98" s="49" t="s">
        <v>72</v>
      </c>
      <c r="F98" s="49" t="s">
        <v>57</v>
      </c>
      <c r="G98" s="49" t="s">
        <v>1657</v>
      </c>
      <c r="H98" s="49"/>
      <c r="I98" s="50"/>
      <c r="J98" s="49"/>
      <c r="K98" s="49" t="s">
        <v>72</v>
      </c>
      <c r="L98" s="49"/>
      <c r="M98" s="50"/>
      <c r="N98" s="52"/>
    </row>
    <row r="99" spans="1:14" s="47" customFormat="1" ht="12" x14ac:dyDescent="0.2">
      <c r="A99" s="48" t="s">
        <v>280</v>
      </c>
      <c r="B99" s="49" t="s">
        <v>165</v>
      </c>
      <c r="C99" s="50">
        <v>43339</v>
      </c>
      <c r="D99" s="51" t="s">
        <v>1071</v>
      </c>
      <c r="E99" s="49" t="s">
        <v>70</v>
      </c>
      <c r="F99" s="49" t="s">
        <v>46</v>
      </c>
      <c r="G99" s="49" t="s">
        <v>1654</v>
      </c>
      <c r="H99" s="49"/>
      <c r="I99" s="50"/>
      <c r="J99" s="49"/>
      <c r="K99" s="49" t="s">
        <v>284</v>
      </c>
      <c r="L99" s="49"/>
      <c r="M99" s="50"/>
      <c r="N99" s="52"/>
    </row>
    <row r="100" spans="1:14" s="47" customFormat="1" ht="12" x14ac:dyDescent="0.2">
      <c r="A100" s="48" t="s">
        <v>164</v>
      </c>
      <c r="B100" s="49" t="s">
        <v>165</v>
      </c>
      <c r="C100" s="50">
        <v>38202</v>
      </c>
      <c r="D100" s="51" t="s">
        <v>166</v>
      </c>
      <c r="E100" s="49" t="s">
        <v>70</v>
      </c>
      <c r="F100" s="49" t="s">
        <v>60</v>
      </c>
      <c r="G100" s="49" t="s">
        <v>147</v>
      </c>
      <c r="H100" s="49"/>
      <c r="I100" s="50"/>
      <c r="J100" s="49"/>
      <c r="K100" s="49" t="s">
        <v>60</v>
      </c>
      <c r="L100" s="49"/>
      <c r="M100" s="50"/>
      <c r="N100" s="52"/>
    </row>
    <row r="101" spans="1:14" s="47" customFormat="1" ht="12" x14ac:dyDescent="0.2">
      <c r="A101" s="53" t="s">
        <v>308</v>
      </c>
      <c r="B101" s="54" t="s">
        <v>165</v>
      </c>
      <c r="C101" s="50">
        <v>43767</v>
      </c>
      <c r="D101" s="55" t="s">
        <v>181</v>
      </c>
      <c r="E101" s="49" t="s">
        <v>70</v>
      </c>
      <c r="F101" s="49" t="s">
        <v>59</v>
      </c>
      <c r="G101" s="49" t="s">
        <v>1663</v>
      </c>
      <c r="H101" s="49"/>
      <c r="I101" s="50"/>
      <c r="J101" s="49"/>
      <c r="K101" s="49" t="s">
        <v>343</v>
      </c>
      <c r="L101" s="49" t="s">
        <v>310</v>
      </c>
      <c r="M101" s="50">
        <v>45467</v>
      </c>
      <c r="N101" s="52"/>
    </row>
    <row r="102" spans="1:14" s="47" customFormat="1" ht="12" x14ac:dyDescent="0.2">
      <c r="A102" s="48" t="s">
        <v>599</v>
      </c>
      <c r="B102" s="49" t="s">
        <v>600</v>
      </c>
      <c r="C102" s="50">
        <v>45152</v>
      </c>
      <c r="D102" s="51" t="s">
        <v>1033</v>
      </c>
      <c r="E102" s="49" t="s">
        <v>70</v>
      </c>
      <c r="F102" s="49" t="s">
        <v>59</v>
      </c>
      <c r="G102" s="49" t="s">
        <v>1665</v>
      </c>
      <c r="H102" s="49"/>
      <c r="I102" s="50"/>
      <c r="J102" s="49"/>
      <c r="K102" s="49" t="s">
        <v>302</v>
      </c>
      <c r="L102" s="49"/>
      <c r="M102" s="50"/>
      <c r="N102" s="52"/>
    </row>
    <row r="103" spans="1:14" s="47" customFormat="1" ht="12" x14ac:dyDescent="0.2">
      <c r="A103" s="53" t="s">
        <v>482</v>
      </c>
      <c r="B103" s="54" t="s">
        <v>307</v>
      </c>
      <c r="C103" s="50">
        <v>44788</v>
      </c>
      <c r="D103" s="55" t="s">
        <v>1140</v>
      </c>
      <c r="E103" s="49" t="s">
        <v>70</v>
      </c>
      <c r="F103" s="49" t="s">
        <v>61</v>
      </c>
      <c r="G103" s="49" t="s">
        <v>400</v>
      </c>
      <c r="H103" s="49"/>
      <c r="I103" s="50"/>
      <c r="J103" s="49"/>
      <c r="K103" s="49" t="s">
        <v>1693</v>
      </c>
      <c r="L103" s="49"/>
      <c r="M103" s="50"/>
      <c r="N103" s="52"/>
    </row>
    <row r="104" spans="1:14" s="47" customFormat="1" ht="12" x14ac:dyDescent="0.2">
      <c r="A104" s="48" t="s">
        <v>435</v>
      </c>
      <c r="B104" s="49" t="s">
        <v>307</v>
      </c>
      <c r="C104" s="50">
        <v>44515</v>
      </c>
      <c r="D104" s="51" t="s">
        <v>372</v>
      </c>
      <c r="E104" s="49" t="s">
        <v>70</v>
      </c>
      <c r="F104" s="49" t="s">
        <v>57</v>
      </c>
      <c r="G104" s="49" t="s">
        <v>162</v>
      </c>
      <c r="H104" s="49"/>
      <c r="I104" s="50"/>
      <c r="J104" s="49"/>
      <c r="K104" s="49" t="s">
        <v>163</v>
      </c>
      <c r="L104" s="49"/>
      <c r="M104" s="50"/>
      <c r="N104" s="52"/>
    </row>
    <row r="105" spans="1:14" s="47" customFormat="1" ht="12" x14ac:dyDescent="0.2">
      <c r="A105" s="48" t="s">
        <v>306</v>
      </c>
      <c r="B105" s="49" t="s">
        <v>307</v>
      </c>
      <c r="C105" s="50">
        <v>43675</v>
      </c>
      <c r="D105" s="51" t="s">
        <v>181</v>
      </c>
      <c r="E105" s="49" t="s">
        <v>70</v>
      </c>
      <c r="F105" s="49" t="s">
        <v>57</v>
      </c>
      <c r="G105" s="49" t="s">
        <v>162</v>
      </c>
      <c r="H105" s="49"/>
      <c r="I105" s="50"/>
      <c r="J105" s="49"/>
      <c r="K105" s="49" t="s">
        <v>239</v>
      </c>
      <c r="L105" s="49"/>
      <c r="M105" s="50"/>
      <c r="N105" s="52" t="s">
        <v>1694</v>
      </c>
    </row>
    <row r="106" spans="1:14" s="47" customFormat="1" ht="12" x14ac:dyDescent="0.2">
      <c r="A106" s="48" t="s">
        <v>424</v>
      </c>
      <c r="B106" s="49" t="s">
        <v>425</v>
      </c>
      <c r="C106" s="50">
        <v>44472</v>
      </c>
      <c r="D106" s="51" t="s">
        <v>426</v>
      </c>
      <c r="E106" s="49" t="s">
        <v>70</v>
      </c>
      <c r="F106" s="49" t="s">
        <v>223</v>
      </c>
      <c r="G106" s="49" t="s">
        <v>288</v>
      </c>
      <c r="H106" s="49"/>
      <c r="I106" s="50"/>
      <c r="J106" s="49"/>
      <c r="K106" s="49" t="s">
        <v>272</v>
      </c>
      <c r="L106" s="49"/>
      <c r="M106" s="50"/>
      <c r="N106" s="52"/>
    </row>
    <row r="107" spans="1:14" s="47" customFormat="1" ht="12" x14ac:dyDescent="0.2">
      <c r="A107" s="53" t="s">
        <v>557</v>
      </c>
      <c r="B107" s="54" t="s">
        <v>558</v>
      </c>
      <c r="C107" s="50">
        <v>44963</v>
      </c>
      <c r="D107" s="55" t="s">
        <v>372</v>
      </c>
      <c r="E107" s="49" t="s">
        <v>73</v>
      </c>
      <c r="F107" s="49" t="s">
        <v>59</v>
      </c>
      <c r="G107" s="49" t="s">
        <v>1663</v>
      </c>
      <c r="H107" s="49" t="s">
        <v>61</v>
      </c>
      <c r="I107" s="50">
        <v>45569</v>
      </c>
      <c r="J107" s="49" t="s">
        <v>549</v>
      </c>
      <c r="K107" s="49" t="s">
        <v>297</v>
      </c>
      <c r="L107" s="49" t="s">
        <v>175</v>
      </c>
      <c r="M107" s="50"/>
      <c r="N107" s="52"/>
    </row>
    <row r="108" spans="1:14" s="47" customFormat="1" ht="12" x14ac:dyDescent="0.2">
      <c r="A108" s="48" t="s">
        <v>695</v>
      </c>
      <c r="B108" s="49" t="s">
        <v>696</v>
      </c>
      <c r="C108" s="50">
        <v>45481</v>
      </c>
      <c r="D108" s="51" t="s">
        <v>169</v>
      </c>
      <c r="E108" s="49" t="s">
        <v>70</v>
      </c>
      <c r="F108" s="49" t="s">
        <v>57</v>
      </c>
      <c r="G108" s="49" t="s">
        <v>162</v>
      </c>
      <c r="H108" s="49"/>
      <c r="I108" s="50"/>
      <c r="J108" s="49"/>
      <c r="K108" s="49" t="s">
        <v>239</v>
      </c>
      <c r="L108" s="49"/>
      <c r="M108" s="50"/>
      <c r="N108" s="52"/>
    </row>
    <row r="109" spans="1:14" s="47" customFormat="1" ht="12" x14ac:dyDescent="0.2">
      <c r="A109" s="48" t="s">
        <v>440</v>
      </c>
      <c r="B109" s="49" t="s">
        <v>441</v>
      </c>
      <c r="C109" s="50">
        <v>44534</v>
      </c>
      <c r="D109" s="51" t="s">
        <v>169</v>
      </c>
      <c r="E109" s="49" t="s">
        <v>70</v>
      </c>
      <c r="F109" s="49" t="s">
        <v>57</v>
      </c>
      <c r="G109" s="49" t="s">
        <v>231</v>
      </c>
      <c r="H109" s="49"/>
      <c r="I109" s="50"/>
      <c r="J109" s="49"/>
      <c r="K109" s="49" t="s">
        <v>72</v>
      </c>
      <c r="L109" s="49"/>
      <c r="M109" s="50"/>
      <c r="N109" s="52" t="s">
        <v>442</v>
      </c>
    </row>
    <row r="110" spans="1:14" s="47" customFormat="1" ht="12" x14ac:dyDescent="0.2">
      <c r="A110" s="48" t="s">
        <v>382</v>
      </c>
      <c r="B110" s="49" t="s">
        <v>383</v>
      </c>
      <c r="C110" s="50">
        <v>44343</v>
      </c>
      <c r="D110" s="51" t="s">
        <v>169</v>
      </c>
      <c r="E110" s="49" t="s">
        <v>70</v>
      </c>
      <c r="F110" s="49" t="s">
        <v>46</v>
      </c>
      <c r="G110" s="49" t="s">
        <v>1668</v>
      </c>
      <c r="H110" s="49"/>
      <c r="I110" s="50"/>
      <c r="J110" s="49"/>
      <c r="K110" s="59" t="s">
        <v>1669</v>
      </c>
      <c r="L110" s="49"/>
      <c r="M110" s="50"/>
      <c r="N110" s="52" t="s">
        <v>1695</v>
      </c>
    </row>
    <row r="111" spans="1:14" s="47" customFormat="1" ht="12" x14ac:dyDescent="0.2">
      <c r="A111" s="48" t="s">
        <v>664</v>
      </c>
      <c r="B111" s="49" t="s">
        <v>665</v>
      </c>
      <c r="C111" s="50">
        <v>45386</v>
      </c>
      <c r="D111" s="51" t="s">
        <v>169</v>
      </c>
      <c r="E111" s="49" t="s">
        <v>70</v>
      </c>
      <c r="F111" s="49" t="s">
        <v>61</v>
      </c>
      <c r="G111" s="49" t="s">
        <v>314</v>
      </c>
      <c r="H111" s="49"/>
      <c r="I111" s="50"/>
      <c r="J111" s="49"/>
      <c r="K111" s="49" t="s">
        <v>175</v>
      </c>
      <c r="L111" s="49"/>
      <c r="M111" s="50"/>
      <c r="N111" s="52"/>
    </row>
    <row r="112" spans="1:14" s="47" customFormat="1" ht="12" x14ac:dyDescent="0.2">
      <c r="A112" s="48" t="s">
        <v>596</v>
      </c>
      <c r="B112" s="49" t="s">
        <v>597</v>
      </c>
      <c r="C112" s="50">
        <v>45138</v>
      </c>
      <c r="D112" s="51" t="s">
        <v>1304</v>
      </c>
      <c r="E112" s="49" t="s">
        <v>70</v>
      </c>
      <c r="F112" s="49" t="s">
        <v>46</v>
      </c>
      <c r="G112" s="49" t="s">
        <v>387</v>
      </c>
      <c r="H112" s="49"/>
      <c r="I112" s="50"/>
      <c r="J112" s="49"/>
      <c r="K112" s="49" t="s">
        <v>388</v>
      </c>
      <c r="L112" s="49"/>
      <c r="M112" s="50"/>
      <c r="N112" s="52"/>
    </row>
    <row r="113" spans="1:14" s="47" customFormat="1" ht="12" x14ac:dyDescent="0.2">
      <c r="A113" s="48" t="s">
        <v>254</v>
      </c>
      <c r="B113" s="49" t="s">
        <v>255</v>
      </c>
      <c r="C113" s="50">
        <v>42801</v>
      </c>
      <c r="D113" s="51" t="s">
        <v>1030</v>
      </c>
      <c r="E113" s="49" t="s">
        <v>70</v>
      </c>
      <c r="F113" s="49" t="s">
        <v>46</v>
      </c>
      <c r="G113" s="49" t="s">
        <v>187</v>
      </c>
      <c r="H113" s="49"/>
      <c r="I113" s="50"/>
      <c r="J113" s="49"/>
      <c r="K113" s="49" t="s">
        <v>1696</v>
      </c>
      <c r="L113" s="49"/>
      <c r="M113" s="50"/>
      <c r="N113" s="52"/>
    </row>
    <row r="114" spans="1:14" s="47" customFormat="1" ht="12" x14ac:dyDescent="0.2">
      <c r="A114" s="48" t="s">
        <v>456</v>
      </c>
      <c r="B114" s="49" t="s">
        <v>457</v>
      </c>
      <c r="C114" s="50">
        <v>44669</v>
      </c>
      <c r="D114" s="51" t="s">
        <v>1393</v>
      </c>
      <c r="E114" s="49" t="s">
        <v>70</v>
      </c>
      <c r="F114" s="49" t="s">
        <v>57</v>
      </c>
      <c r="G114" s="49" t="s">
        <v>1697</v>
      </c>
      <c r="H114" s="49"/>
      <c r="I114" s="50"/>
      <c r="J114" s="49"/>
      <c r="K114" s="49" t="s">
        <v>1658</v>
      </c>
      <c r="L114" s="49"/>
      <c r="M114" s="50"/>
      <c r="N114" s="52"/>
    </row>
    <row r="115" spans="1:14" s="47" customFormat="1" ht="12" x14ac:dyDescent="0.2">
      <c r="A115" s="48" t="s">
        <v>410</v>
      </c>
      <c r="B115" s="49" t="s">
        <v>411</v>
      </c>
      <c r="C115" s="50">
        <v>44441</v>
      </c>
      <c r="D115" s="51" t="s">
        <v>1698</v>
      </c>
      <c r="E115" s="49" t="s">
        <v>70</v>
      </c>
      <c r="F115" s="49" t="s">
        <v>60</v>
      </c>
      <c r="G115" s="49" t="s">
        <v>147</v>
      </c>
      <c r="H115" s="49"/>
      <c r="I115" s="50"/>
      <c r="J115" s="49"/>
      <c r="K115" s="49" t="s">
        <v>60</v>
      </c>
      <c r="L115" s="49"/>
      <c r="M115" s="50"/>
      <c r="N115" s="52"/>
    </row>
    <row r="116" spans="1:14" s="47" customFormat="1" ht="12" x14ac:dyDescent="0.2">
      <c r="A116" s="48" t="s">
        <v>191</v>
      </c>
      <c r="B116" s="49" t="s">
        <v>192</v>
      </c>
      <c r="C116" s="50">
        <v>40959</v>
      </c>
      <c r="D116" s="51" t="s">
        <v>691</v>
      </c>
      <c r="E116" s="49" t="s">
        <v>70</v>
      </c>
      <c r="F116" s="49" t="s">
        <v>61</v>
      </c>
      <c r="G116" s="49" t="s">
        <v>1691</v>
      </c>
      <c r="H116" s="49"/>
      <c r="I116" s="50"/>
      <c r="J116" s="49"/>
      <c r="K116" s="49" t="s">
        <v>175</v>
      </c>
      <c r="L116" s="49"/>
      <c r="M116" s="50"/>
      <c r="N116" s="52"/>
    </row>
    <row r="117" spans="1:14" s="47" customFormat="1" ht="12" x14ac:dyDescent="0.2">
      <c r="A117" s="48" t="s">
        <v>689</v>
      </c>
      <c r="B117" s="49" t="s">
        <v>690</v>
      </c>
      <c r="C117" s="50">
        <v>45474</v>
      </c>
      <c r="D117" s="51" t="s">
        <v>691</v>
      </c>
      <c r="E117" s="49" t="s">
        <v>70</v>
      </c>
      <c r="F117" s="49" t="s">
        <v>59</v>
      </c>
      <c r="G117" s="95" t="s">
        <v>334</v>
      </c>
      <c r="H117" s="49"/>
      <c r="I117" s="50"/>
      <c r="J117" s="49"/>
      <c r="K117" s="59" t="s">
        <v>302</v>
      </c>
      <c r="L117" s="49"/>
      <c r="M117" s="50"/>
      <c r="N117" s="52"/>
    </row>
    <row r="118" spans="1:14" s="47" customFormat="1" ht="12" x14ac:dyDescent="0.2">
      <c r="A118" s="48" t="s">
        <v>573</v>
      </c>
      <c r="B118" s="49" t="s">
        <v>574</v>
      </c>
      <c r="C118" s="50">
        <v>44998</v>
      </c>
      <c r="D118" s="51" t="s">
        <v>206</v>
      </c>
      <c r="E118" s="49" t="s">
        <v>70</v>
      </c>
      <c r="F118" s="49" t="s">
        <v>57</v>
      </c>
      <c r="G118" s="49" t="s">
        <v>400</v>
      </c>
      <c r="H118" s="49" t="s">
        <v>61</v>
      </c>
      <c r="I118" s="50">
        <v>45463</v>
      </c>
      <c r="J118" s="49" t="s">
        <v>1699</v>
      </c>
      <c r="K118" s="49" t="s">
        <v>239</v>
      </c>
      <c r="L118" s="49" t="s">
        <v>175</v>
      </c>
      <c r="M118" s="50"/>
      <c r="N118" s="52" t="s">
        <v>1700</v>
      </c>
    </row>
    <row r="119" spans="1:14" s="47" customFormat="1" ht="12" x14ac:dyDescent="0.2">
      <c r="A119" s="48" t="s">
        <v>562</v>
      </c>
      <c r="B119" s="49" t="s">
        <v>563</v>
      </c>
      <c r="C119" s="50">
        <v>44968</v>
      </c>
      <c r="D119" s="51" t="s">
        <v>464</v>
      </c>
      <c r="E119" s="49" t="s">
        <v>70</v>
      </c>
      <c r="F119" s="49" t="s">
        <v>57</v>
      </c>
      <c r="G119" s="49" t="s">
        <v>238</v>
      </c>
      <c r="H119" s="49"/>
      <c r="I119" s="50"/>
      <c r="J119" s="49"/>
      <c r="K119" s="49" t="s">
        <v>72</v>
      </c>
      <c r="L119" s="49"/>
      <c r="M119" s="50"/>
      <c r="N119" s="52"/>
    </row>
    <row r="120" spans="1:14" s="47" customFormat="1" ht="12" x14ac:dyDescent="0.2">
      <c r="A120" s="53" t="s">
        <v>506</v>
      </c>
      <c r="B120" s="54" t="s">
        <v>507</v>
      </c>
      <c r="C120" s="50">
        <v>44844</v>
      </c>
      <c r="D120" s="55" t="s">
        <v>508</v>
      </c>
      <c r="E120" s="49" t="s">
        <v>72</v>
      </c>
      <c r="F120" s="49" t="s">
        <v>57</v>
      </c>
      <c r="G120" s="49" t="s">
        <v>1661</v>
      </c>
      <c r="H120" s="49"/>
      <c r="I120" s="50"/>
      <c r="J120" s="49"/>
      <c r="K120" s="49" t="s">
        <v>72</v>
      </c>
      <c r="L120" s="49"/>
      <c r="M120" s="50"/>
      <c r="N120" s="52"/>
    </row>
    <row r="121" spans="1:14" s="47" customFormat="1" ht="12" x14ac:dyDescent="0.2">
      <c r="A121" s="48" t="s">
        <v>639</v>
      </c>
      <c r="B121" s="49" t="s">
        <v>640</v>
      </c>
      <c r="C121" s="50">
        <v>45295</v>
      </c>
      <c r="D121" s="51" t="s">
        <v>206</v>
      </c>
      <c r="E121" s="49" t="s">
        <v>70</v>
      </c>
      <c r="F121" s="49" t="s">
        <v>57</v>
      </c>
      <c r="G121" s="49" t="s">
        <v>536</v>
      </c>
      <c r="H121" s="49"/>
      <c r="I121" s="50"/>
      <c r="J121" s="49"/>
      <c r="K121" s="49" t="s">
        <v>72</v>
      </c>
      <c r="L121" s="49"/>
      <c r="M121" s="50"/>
      <c r="N121" s="52"/>
    </row>
    <row r="122" spans="1:14" s="47" customFormat="1" ht="12" x14ac:dyDescent="0.2">
      <c r="A122" s="48" t="s">
        <v>586</v>
      </c>
      <c r="B122" s="49" t="s">
        <v>587</v>
      </c>
      <c r="C122" s="50">
        <v>45115</v>
      </c>
      <c r="D122" s="51" t="s">
        <v>588</v>
      </c>
      <c r="E122" s="49" t="s">
        <v>70</v>
      </c>
      <c r="F122" s="49" t="s">
        <v>46</v>
      </c>
      <c r="G122" s="49" t="s">
        <v>387</v>
      </c>
      <c r="H122" s="49"/>
      <c r="I122" s="50"/>
      <c r="J122" s="49"/>
      <c r="K122" s="49" t="s">
        <v>388</v>
      </c>
      <c r="L122" s="49"/>
      <c r="M122" s="50"/>
      <c r="N122" s="52"/>
    </row>
    <row r="123" spans="1:14" s="47" customFormat="1" ht="12" x14ac:dyDescent="0.2">
      <c r="A123" s="48" t="s">
        <v>692</v>
      </c>
      <c r="B123" s="49" t="s">
        <v>693</v>
      </c>
      <c r="C123" s="50">
        <v>45474</v>
      </c>
      <c r="D123" s="51" t="s">
        <v>1701</v>
      </c>
      <c r="E123" s="49" t="s">
        <v>70</v>
      </c>
      <c r="F123" s="49" t="s">
        <v>59</v>
      </c>
      <c r="G123" s="49" t="s">
        <v>334</v>
      </c>
      <c r="H123" s="49"/>
      <c r="I123" s="50"/>
      <c r="J123" s="49"/>
      <c r="K123" s="49" t="s">
        <v>302</v>
      </c>
      <c r="L123" s="49"/>
      <c r="M123" s="50"/>
      <c r="N123" s="52"/>
    </row>
    <row r="124" spans="1:14" s="47" customFormat="1" ht="12" x14ac:dyDescent="0.2">
      <c r="A124" s="48" t="s">
        <v>522</v>
      </c>
      <c r="B124" s="49" t="s">
        <v>523</v>
      </c>
      <c r="C124" s="50">
        <v>44879</v>
      </c>
      <c r="D124" s="51" t="s">
        <v>1140</v>
      </c>
      <c r="E124" s="49" t="s">
        <v>70</v>
      </c>
      <c r="F124" s="49" t="s">
        <v>59</v>
      </c>
      <c r="G124" s="49" t="s">
        <v>400</v>
      </c>
      <c r="H124" s="49" t="s">
        <v>61</v>
      </c>
      <c r="I124" s="88">
        <v>45467</v>
      </c>
      <c r="J124" s="49" t="s">
        <v>392</v>
      </c>
      <c r="K124" s="49" t="s">
        <v>343</v>
      </c>
      <c r="L124" s="49" t="s">
        <v>175</v>
      </c>
      <c r="M124" s="50"/>
      <c r="N124" s="52"/>
    </row>
    <row r="125" spans="1:14" s="47" customFormat="1" ht="12" x14ac:dyDescent="0.2">
      <c r="A125" s="48" t="s">
        <v>632</v>
      </c>
      <c r="B125" s="49" t="s">
        <v>633</v>
      </c>
      <c r="C125" s="50">
        <v>45088</v>
      </c>
      <c r="D125" s="51" t="s">
        <v>169</v>
      </c>
      <c r="E125" s="49" t="s">
        <v>70</v>
      </c>
      <c r="F125" s="49" t="s">
        <v>57</v>
      </c>
      <c r="G125" s="49" t="s">
        <v>231</v>
      </c>
      <c r="H125" s="49"/>
      <c r="I125" s="50"/>
      <c r="J125" s="49"/>
      <c r="K125" s="49" t="s">
        <v>72</v>
      </c>
      <c r="L125" s="49"/>
      <c r="M125" s="50"/>
      <c r="N125" s="52"/>
    </row>
    <row r="126" spans="1:14" s="47" customFormat="1" ht="12" x14ac:dyDescent="0.2">
      <c r="A126" s="48" t="s">
        <v>520</v>
      </c>
      <c r="B126" s="49" t="s">
        <v>521</v>
      </c>
      <c r="C126" s="50">
        <v>44879</v>
      </c>
      <c r="D126" s="51" t="s">
        <v>432</v>
      </c>
      <c r="E126" s="49" t="s">
        <v>70</v>
      </c>
      <c r="F126" s="49" t="s">
        <v>57</v>
      </c>
      <c r="G126" s="49" t="s">
        <v>231</v>
      </c>
      <c r="H126" s="49"/>
      <c r="I126" s="50"/>
      <c r="J126" s="49"/>
      <c r="K126" s="49" t="s">
        <v>72</v>
      </c>
      <c r="L126" s="49"/>
      <c r="M126" s="50"/>
      <c r="N126" s="52"/>
    </row>
    <row r="127" spans="1:14" s="47" customFormat="1" ht="12" x14ac:dyDescent="0.2">
      <c r="A127" s="48" t="s">
        <v>601</v>
      </c>
      <c r="B127" s="49" t="s">
        <v>602</v>
      </c>
      <c r="C127" s="50">
        <v>45159</v>
      </c>
      <c r="D127" s="51" t="s">
        <v>169</v>
      </c>
      <c r="E127" s="49" t="s">
        <v>70</v>
      </c>
      <c r="F127" s="49" t="s">
        <v>57</v>
      </c>
      <c r="G127" s="49" t="s">
        <v>231</v>
      </c>
      <c r="H127" s="49"/>
      <c r="I127" s="50"/>
      <c r="J127" s="49"/>
      <c r="K127" s="49" t="s">
        <v>72</v>
      </c>
      <c r="L127" s="49"/>
      <c r="M127" s="50"/>
      <c r="N127" s="52"/>
    </row>
    <row r="128" spans="1:14" s="47" customFormat="1" ht="13.15" customHeight="1" x14ac:dyDescent="0.2">
      <c r="A128" s="48" t="s">
        <v>151</v>
      </c>
      <c r="B128" s="49" t="s">
        <v>152</v>
      </c>
      <c r="C128" s="50">
        <v>36787</v>
      </c>
      <c r="D128" s="51" t="s">
        <v>153</v>
      </c>
      <c r="E128" s="49" t="s">
        <v>70</v>
      </c>
      <c r="F128" s="49" t="s">
        <v>60</v>
      </c>
      <c r="G128" s="49" t="s">
        <v>147</v>
      </c>
      <c r="H128" s="49"/>
      <c r="I128" s="50"/>
      <c r="J128" s="49"/>
      <c r="K128" s="49" t="s">
        <v>60</v>
      </c>
      <c r="L128" s="49"/>
      <c r="M128" s="50"/>
      <c r="N128" s="52"/>
    </row>
    <row r="129" spans="1:14" s="47" customFormat="1" ht="12" x14ac:dyDescent="0.2">
      <c r="A129" s="48" t="s">
        <v>217</v>
      </c>
      <c r="B129" s="49" t="s">
        <v>218</v>
      </c>
      <c r="C129" s="50">
        <v>41652</v>
      </c>
      <c r="D129" s="51" t="s">
        <v>219</v>
      </c>
      <c r="E129" s="49" t="s">
        <v>70</v>
      </c>
      <c r="F129" s="49" t="s">
        <v>223</v>
      </c>
      <c r="G129" s="49" t="s">
        <v>221</v>
      </c>
      <c r="H129" s="49"/>
      <c r="I129" s="50"/>
      <c r="J129" s="49"/>
      <c r="K129" s="49" t="s">
        <v>222</v>
      </c>
      <c r="L129" s="49"/>
      <c r="M129" s="50"/>
      <c r="N129" s="52"/>
    </row>
    <row r="130" spans="1:14" s="47" customFormat="1" ht="12" x14ac:dyDescent="0.2">
      <c r="A130" s="48" t="s">
        <v>503</v>
      </c>
      <c r="B130" s="49" t="s">
        <v>504</v>
      </c>
      <c r="C130" s="50">
        <v>44844</v>
      </c>
      <c r="D130" s="51" t="s">
        <v>505</v>
      </c>
      <c r="E130" s="49" t="s">
        <v>70</v>
      </c>
      <c r="F130" s="49" t="s">
        <v>61</v>
      </c>
      <c r="G130" s="49" t="s">
        <v>1691</v>
      </c>
      <c r="H130" s="49"/>
      <c r="I130" s="50"/>
      <c r="J130" s="49"/>
      <c r="K130" s="49" t="s">
        <v>419</v>
      </c>
      <c r="L130" s="49"/>
      <c r="M130" s="50"/>
      <c r="N130" s="52"/>
    </row>
    <row r="131" spans="1:14" s="47" customFormat="1" ht="12" x14ac:dyDescent="0.2">
      <c r="A131" s="48" t="s">
        <v>398</v>
      </c>
      <c r="B131" s="49" t="s">
        <v>399</v>
      </c>
      <c r="C131" s="50">
        <v>44361</v>
      </c>
      <c r="D131" s="51" t="s">
        <v>318</v>
      </c>
      <c r="E131" s="49" t="s">
        <v>70</v>
      </c>
      <c r="F131" s="49" t="s">
        <v>61</v>
      </c>
      <c r="G131" s="49" t="s">
        <v>400</v>
      </c>
      <c r="H131" s="49"/>
      <c r="I131" s="50"/>
      <c r="J131" s="49"/>
      <c r="K131" s="49" t="s">
        <v>419</v>
      </c>
      <c r="L131" s="49" t="s">
        <v>175</v>
      </c>
      <c r="M131" s="50"/>
      <c r="N131" s="52" t="s">
        <v>1702</v>
      </c>
    </row>
    <row r="132" spans="1:14" s="47" customFormat="1" ht="12" x14ac:dyDescent="0.2">
      <c r="A132" s="48" t="s">
        <v>427</v>
      </c>
      <c r="B132" s="49" t="s">
        <v>428</v>
      </c>
      <c r="C132" s="50">
        <v>44474</v>
      </c>
      <c r="D132" s="51" t="s">
        <v>169</v>
      </c>
      <c r="E132" s="49" t="s">
        <v>70</v>
      </c>
      <c r="F132" s="49" t="s">
        <v>57</v>
      </c>
      <c r="G132" s="49" t="s">
        <v>231</v>
      </c>
      <c r="H132" s="49"/>
      <c r="I132" s="50"/>
      <c r="J132" s="49"/>
      <c r="K132" s="49" t="s">
        <v>72</v>
      </c>
      <c r="L132" s="49"/>
      <c r="M132" s="50"/>
      <c r="N132" s="52"/>
    </row>
    <row r="133" spans="1:14" s="47" customFormat="1" ht="12" x14ac:dyDescent="0.2">
      <c r="A133" s="48" t="s">
        <v>682</v>
      </c>
      <c r="B133" s="60" t="s">
        <v>683</v>
      </c>
      <c r="C133" s="50">
        <v>45439</v>
      </c>
      <c r="D133" s="60" t="s">
        <v>169</v>
      </c>
      <c r="E133" s="49" t="s">
        <v>70</v>
      </c>
      <c r="F133" s="49" t="s">
        <v>59</v>
      </c>
      <c r="G133" s="49" t="s">
        <v>1663</v>
      </c>
      <c r="H133" s="49"/>
      <c r="I133" s="50"/>
      <c r="J133" s="49"/>
      <c r="K133" s="49" t="s">
        <v>1664</v>
      </c>
      <c r="L133" s="49"/>
      <c r="M133" s="50"/>
      <c r="N133" s="52"/>
    </row>
    <row r="134" spans="1:14" s="47" customFormat="1" ht="12" x14ac:dyDescent="0.2">
      <c r="A134" s="48" t="s">
        <v>459</v>
      </c>
      <c r="B134" s="49" t="s">
        <v>460</v>
      </c>
      <c r="C134" s="50">
        <v>44704</v>
      </c>
      <c r="D134" s="51" t="s">
        <v>1703</v>
      </c>
      <c r="E134" s="49" t="s">
        <v>70</v>
      </c>
      <c r="F134" s="49" t="s">
        <v>46</v>
      </c>
      <c r="G134" s="49" t="s">
        <v>157</v>
      </c>
      <c r="H134" s="49"/>
      <c r="I134" s="50"/>
      <c r="J134" s="49"/>
      <c r="K134" s="49" t="s">
        <v>46</v>
      </c>
      <c r="L134" s="49"/>
      <c r="M134" s="50"/>
      <c r="N134" s="52"/>
    </row>
    <row r="135" spans="1:14" s="47" customFormat="1" ht="12" x14ac:dyDescent="0.2">
      <c r="A135" s="48" t="s">
        <v>589</v>
      </c>
      <c r="B135" s="49" t="s">
        <v>590</v>
      </c>
      <c r="C135" s="50">
        <v>45115</v>
      </c>
      <c r="D135" s="51" t="s">
        <v>591</v>
      </c>
      <c r="E135" s="49" t="s">
        <v>70</v>
      </c>
      <c r="F135" s="49" t="s">
        <v>61</v>
      </c>
      <c r="G135" s="49" t="s">
        <v>314</v>
      </c>
      <c r="H135" s="49"/>
      <c r="I135" s="50"/>
      <c r="J135" s="49"/>
      <c r="K135" s="49" t="s">
        <v>467</v>
      </c>
      <c r="L135" s="49"/>
      <c r="M135" s="50"/>
      <c r="N135" s="52"/>
    </row>
    <row r="136" spans="1:14" s="47" customFormat="1" ht="12" x14ac:dyDescent="0.2">
      <c r="A136" s="48" t="s">
        <v>592</v>
      </c>
      <c r="B136" s="49" t="s">
        <v>593</v>
      </c>
      <c r="C136" s="50">
        <v>45138</v>
      </c>
      <c r="D136" s="51" t="s">
        <v>594</v>
      </c>
      <c r="E136" s="49" t="s">
        <v>70</v>
      </c>
      <c r="F136" s="49" t="s">
        <v>57</v>
      </c>
      <c r="G136" s="49" t="s">
        <v>1689</v>
      </c>
      <c r="H136" s="49"/>
      <c r="I136" s="50"/>
      <c r="J136" s="49"/>
      <c r="K136" s="49" t="s">
        <v>239</v>
      </c>
      <c r="L136" s="49"/>
      <c r="M136" s="50"/>
      <c r="N136" s="52"/>
    </row>
    <row r="137" spans="1:14" s="47" customFormat="1" ht="12" x14ac:dyDescent="0.2">
      <c r="A137" s="48" t="s">
        <v>685</v>
      </c>
      <c r="B137" s="49" t="s">
        <v>686</v>
      </c>
      <c r="C137" s="50">
        <v>45460</v>
      </c>
      <c r="D137" s="51" t="s">
        <v>206</v>
      </c>
      <c r="E137" s="49" t="s">
        <v>70</v>
      </c>
      <c r="F137" s="49" t="s">
        <v>61</v>
      </c>
      <c r="G137" s="49" t="s">
        <v>400</v>
      </c>
      <c r="H137" s="49"/>
      <c r="I137" s="50"/>
      <c r="J137" s="49"/>
      <c r="K137" s="49" t="s">
        <v>1704</v>
      </c>
      <c r="L137" s="49"/>
      <c r="M137" s="50"/>
      <c r="N137" s="52"/>
    </row>
    <row r="138" spans="1:14" s="47" customFormat="1" ht="12" x14ac:dyDescent="0.2">
      <c r="A138" s="48" t="s">
        <v>629</v>
      </c>
      <c r="B138" s="49" t="s">
        <v>630</v>
      </c>
      <c r="C138" s="50">
        <v>45231</v>
      </c>
      <c r="D138" s="51" t="s">
        <v>631</v>
      </c>
      <c r="E138" s="49" t="s">
        <v>70</v>
      </c>
      <c r="F138" s="49" t="s">
        <v>223</v>
      </c>
      <c r="G138" s="49" t="s">
        <v>288</v>
      </c>
      <c r="H138" s="49"/>
      <c r="I138" s="50"/>
      <c r="J138" s="49"/>
      <c r="K138" s="49" t="s">
        <v>272</v>
      </c>
      <c r="L138" s="49"/>
      <c r="M138" s="50"/>
      <c r="N138" s="52"/>
    </row>
    <row r="139" spans="1:14" s="47" customFormat="1" ht="12" x14ac:dyDescent="0.2">
      <c r="A139" s="48" t="s">
        <v>544</v>
      </c>
      <c r="B139" s="49" t="s">
        <v>545</v>
      </c>
      <c r="C139" s="50">
        <v>44951</v>
      </c>
      <c r="D139" s="51" t="s">
        <v>169</v>
      </c>
      <c r="E139" s="49" t="s">
        <v>70</v>
      </c>
      <c r="F139" s="49" t="s">
        <v>59</v>
      </c>
      <c r="G139" s="49" t="s">
        <v>1663</v>
      </c>
      <c r="H139" s="49"/>
      <c r="I139" s="50"/>
      <c r="J139" s="49"/>
      <c r="K139" s="49" t="s">
        <v>467</v>
      </c>
      <c r="L139" s="49"/>
      <c r="M139" s="50"/>
      <c r="N139" s="52"/>
    </row>
    <row r="140" spans="1:14" s="47" customFormat="1" ht="13.15" customHeight="1" x14ac:dyDescent="0.2">
      <c r="A140" s="48" t="s">
        <v>264</v>
      </c>
      <c r="B140" s="49" t="s">
        <v>265</v>
      </c>
      <c r="C140" s="50">
        <v>43066</v>
      </c>
      <c r="D140" s="51" t="s">
        <v>266</v>
      </c>
      <c r="E140" s="49" t="s">
        <v>70</v>
      </c>
      <c r="F140" s="49" t="s">
        <v>57</v>
      </c>
      <c r="G140" s="49" t="s">
        <v>490</v>
      </c>
      <c r="H140" s="49"/>
      <c r="I140" s="50"/>
      <c r="J140" s="49"/>
      <c r="K140" s="49" t="s">
        <v>1670</v>
      </c>
      <c r="L140" s="49"/>
      <c r="M140" s="50"/>
      <c r="N140" s="52"/>
    </row>
    <row r="141" spans="1:14" s="47" customFormat="1" ht="12" x14ac:dyDescent="0.2">
      <c r="A141" s="48" t="s">
        <v>446</v>
      </c>
      <c r="B141" s="49" t="s">
        <v>447</v>
      </c>
      <c r="C141" s="61" t="s">
        <v>1705</v>
      </c>
      <c r="D141" s="51" t="s">
        <v>206</v>
      </c>
      <c r="E141" s="49" t="s">
        <v>70</v>
      </c>
      <c r="F141" s="49" t="s">
        <v>57</v>
      </c>
      <c r="G141" s="49" t="s">
        <v>162</v>
      </c>
      <c r="H141" s="49"/>
      <c r="I141" s="50"/>
      <c r="J141" s="49"/>
      <c r="K141" s="49" t="s">
        <v>163</v>
      </c>
      <c r="L141" s="49"/>
      <c r="M141" s="50"/>
      <c r="N141" s="52"/>
    </row>
    <row r="142" spans="1:14" s="47" customFormat="1" ht="12" x14ac:dyDescent="0.2">
      <c r="A142" s="48" t="s">
        <v>607</v>
      </c>
      <c r="B142" s="49" t="s">
        <v>608</v>
      </c>
      <c r="C142" s="50">
        <v>45169</v>
      </c>
      <c r="D142" s="51" t="s">
        <v>609</v>
      </c>
      <c r="E142" s="49" t="s">
        <v>70</v>
      </c>
      <c r="F142" s="49" t="s">
        <v>223</v>
      </c>
      <c r="G142" s="49" t="s">
        <v>221</v>
      </c>
      <c r="H142" s="49"/>
      <c r="I142" s="50"/>
      <c r="J142" s="49"/>
      <c r="K142" s="49" t="s">
        <v>227</v>
      </c>
      <c r="L142" s="49"/>
      <c r="M142" s="50"/>
      <c r="N142" s="52"/>
    </row>
    <row r="143" spans="1:14" s="47" customFormat="1" ht="12" x14ac:dyDescent="0.2">
      <c r="A143" s="48" t="s">
        <v>241</v>
      </c>
      <c r="B143" s="49" t="s">
        <v>242</v>
      </c>
      <c r="C143" s="50">
        <v>42377</v>
      </c>
      <c r="D143" s="51" t="s">
        <v>1706</v>
      </c>
      <c r="E143" s="49" t="s">
        <v>70</v>
      </c>
      <c r="F143" s="49" t="s">
        <v>60</v>
      </c>
      <c r="G143" s="49" t="s">
        <v>147</v>
      </c>
      <c r="H143" s="49"/>
      <c r="I143" s="50"/>
      <c r="J143" s="49"/>
      <c r="K143" s="49" t="s">
        <v>60</v>
      </c>
      <c r="L143" s="49"/>
      <c r="M143" s="50"/>
      <c r="N143" s="52"/>
    </row>
    <row r="144" spans="1:14" s="47" customFormat="1" ht="12" x14ac:dyDescent="0.2">
      <c r="A144" s="56" t="s">
        <v>553</v>
      </c>
      <c r="B144" s="57" t="s">
        <v>554</v>
      </c>
      <c r="C144" s="50">
        <v>44963</v>
      </c>
      <c r="D144" s="55" t="s">
        <v>372</v>
      </c>
      <c r="E144" s="49" t="s">
        <v>73</v>
      </c>
      <c r="F144" s="49" t="s">
        <v>59</v>
      </c>
      <c r="G144" s="49" t="s">
        <v>1663</v>
      </c>
      <c r="H144" s="49" t="s">
        <v>61</v>
      </c>
      <c r="I144" s="94">
        <v>45569</v>
      </c>
      <c r="J144" s="49" t="s">
        <v>549</v>
      </c>
      <c r="K144" s="49" t="s">
        <v>1707</v>
      </c>
      <c r="L144" s="49" t="s">
        <v>343</v>
      </c>
      <c r="M144" s="50"/>
      <c r="N144" s="52" t="s">
        <v>1708</v>
      </c>
    </row>
    <row r="145" spans="1:14" s="47" customFormat="1" ht="12" x14ac:dyDescent="0.2">
      <c r="A145" s="48" t="s">
        <v>384</v>
      </c>
      <c r="B145" s="49" t="s">
        <v>385</v>
      </c>
      <c r="C145" s="50">
        <v>44359</v>
      </c>
      <c r="D145" s="51" t="s">
        <v>386</v>
      </c>
      <c r="E145" s="49" t="s">
        <v>70</v>
      </c>
      <c r="F145" s="49" t="s">
        <v>46</v>
      </c>
      <c r="G145" s="49" t="s">
        <v>187</v>
      </c>
      <c r="H145" s="49"/>
      <c r="I145" s="50"/>
      <c r="J145" s="49"/>
      <c r="K145" s="49" t="s">
        <v>46</v>
      </c>
      <c r="L145" s="49"/>
      <c r="M145" s="50"/>
      <c r="N145" s="52"/>
    </row>
    <row r="146" spans="1:14" s="47" customFormat="1" ht="12" x14ac:dyDescent="0.2">
      <c r="A146" s="48" t="s">
        <v>1709</v>
      </c>
      <c r="B146" s="49" t="s">
        <v>463</v>
      </c>
      <c r="C146" s="50">
        <v>44718</v>
      </c>
      <c r="D146" s="51" t="s">
        <v>769</v>
      </c>
      <c r="E146" s="49" t="s">
        <v>70</v>
      </c>
      <c r="F146" s="49" t="s">
        <v>1710</v>
      </c>
      <c r="G146" s="49" t="s">
        <v>1674</v>
      </c>
      <c r="H146" s="49" t="s">
        <v>465</v>
      </c>
      <c r="I146" s="50">
        <v>45616</v>
      </c>
      <c r="J146" s="49" t="s">
        <v>466</v>
      </c>
      <c r="K146" s="49" t="s">
        <v>467</v>
      </c>
      <c r="L146" s="49" t="s">
        <v>467</v>
      </c>
      <c r="M146" s="50"/>
      <c r="N146" s="52"/>
    </row>
    <row r="147" spans="1:14" s="47" customFormat="1" ht="12" x14ac:dyDescent="0.2">
      <c r="A147" s="48" t="s">
        <v>634</v>
      </c>
      <c r="B147" s="49" t="s">
        <v>463</v>
      </c>
      <c r="C147" s="50">
        <v>45253</v>
      </c>
      <c r="D147" s="51" t="s">
        <v>372</v>
      </c>
      <c r="E147" s="49" t="s">
        <v>70</v>
      </c>
      <c r="F147" s="49" t="s">
        <v>61</v>
      </c>
      <c r="G147" s="49" t="s">
        <v>314</v>
      </c>
      <c r="H147" s="49"/>
      <c r="I147" s="50"/>
      <c r="J147" s="49"/>
      <c r="K147" s="49" t="s">
        <v>175</v>
      </c>
      <c r="L147" s="49"/>
      <c r="M147" s="50"/>
      <c r="N147" s="52"/>
    </row>
    <row r="148" spans="1:14" s="47" customFormat="1" ht="12" x14ac:dyDescent="0.2">
      <c r="A148" s="48" t="s">
        <v>451</v>
      </c>
      <c r="B148" s="49" t="s">
        <v>452</v>
      </c>
      <c r="C148" s="50">
        <v>44635</v>
      </c>
      <c r="D148" s="51" t="s">
        <v>237</v>
      </c>
      <c r="E148" s="49" t="s">
        <v>70</v>
      </c>
      <c r="F148" s="49" t="s">
        <v>59</v>
      </c>
      <c r="G148" s="95" t="s">
        <v>1711</v>
      </c>
      <c r="H148" s="49"/>
      <c r="I148" s="50"/>
      <c r="J148" s="49"/>
      <c r="K148" s="49" t="s">
        <v>302</v>
      </c>
      <c r="L148" s="49"/>
      <c r="M148" s="50"/>
      <c r="N148" s="52" t="s">
        <v>1712</v>
      </c>
    </row>
    <row r="149" spans="1:14" s="47" customFormat="1" ht="12" x14ac:dyDescent="0.2">
      <c r="A149" s="48" t="s">
        <v>214</v>
      </c>
      <c r="B149" s="49" t="s">
        <v>215</v>
      </c>
      <c r="C149" s="50">
        <v>41651</v>
      </c>
      <c r="D149" s="51" t="s">
        <v>237</v>
      </c>
      <c r="E149" s="49" t="s">
        <v>70</v>
      </c>
      <c r="F149" s="49" t="s">
        <v>61</v>
      </c>
      <c r="G149" s="49" t="s">
        <v>174</v>
      </c>
      <c r="H149" s="49"/>
      <c r="I149" s="50"/>
      <c r="J149" s="49"/>
      <c r="K149" s="49" t="s">
        <v>419</v>
      </c>
      <c r="L149" s="49"/>
      <c r="M149" s="50"/>
      <c r="N149" s="52"/>
    </row>
    <row r="150" spans="1:14" s="47" customFormat="1" ht="12" x14ac:dyDescent="0.2">
      <c r="A150" s="48" t="s">
        <v>655</v>
      </c>
      <c r="B150" s="49" t="s">
        <v>656</v>
      </c>
      <c r="C150" s="50">
        <v>45376</v>
      </c>
      <c r="D150" s="51" t="s">
        <v>206</v>
      </c>
      <c r="E150" s="49" t="s">
        <v>70</v>
      </c>
      <c r="F150" s="49" t="s">
        <v>61</v>
      </c>
      <c r="G150" s="49" t="s">
        <v>400</v>
      </c>
      <c r="H150" s="49"/>
      <c r="I150" s="50"/>
      <c r="J150" s="49"/>
      <c r="K150" s="49" t="s">
        <v>175</v>
      </c>
      <c r="L150" s="49"/>
      <c r="M150" s="50"/>
      <c r="N150" s="52"/>
    </row>
    <row r="151" spans="1:14" s="47" customFormat="1" ht="12" x14ac:dyDescent="0.2">
      <c r="A151" s="48" t="s">
        <v>289</v>
      </c>
      <c r="B151" s="49" t="s">
        <v>290</v>
      </c>
      <c r="C151" s="50">
        <v>43584</v>
      </c>
      <c r="D151" s="51" t="s">
        <v>291</v>
      </c>
      <c r="E151" s="49" t="s">
        <v>70</v>
      </c>
      <c r="F151" s="49" t="s">
        <v>46</v>
      </c>
      <c r="G151" s="49" t="s">
        <v>293</v>
      </c>
      <c r="H151" s="49"/>
      <c r="I151" s="50"/>
      <c r="J151" s="49"/>
      <c r="K151" s="49" t="s">
        <v>1696</v>
      </c>
      <c r="L151" s="49"/>
      <c r="M151" s="50"/>
      <c r="N151" s="52"/>
    </row>
    <row r="152" spans="1:14" s="47" customFormat="1" ht="12.75" customHeight="1" x14ac:dyDescent="0.2">
      <c r="A152" s="53" t="s">
        <v>420</v>
      </c>
      <c r="B152" s="54" t="s">
        <v>421</v>
      </c>
      <c r="C152" s="50">
        <v>44466</v>
      </c>
      <c r="D152" s="55" t="s">
        <v>422</v>
      </c>
      <c r="E152" s="49" t="s">
        <v>72</v>
      </c>
      <c r="F152" s="49" t="s">
        <v>57</v>
      </c>
      <c r="G152" s="49" t="s">
        <v>1661</v>
      </c>
      <c r="H152" s="49"/>
      <c r="I152" s="50"/>
      <c r="J152" s="49"/>
      <c r="K152" s="49" t="s">
        <v>72</v>
      </c>
      <c r="L152" s="49"/>
      <c r="M152" s="50"/>
      <c r="N152" s="52"/>
    </row>
    <row r="153" spans="1:14" s="47" customFormat="1" ht="12" x14ac:dyDescent="0.2">
      <c r="A153" s="48" t="s">
        <v>509</v>
      </c>
      <c r="B153" s="49" t="s">
        <v>510</v>
      </c>
      <c r="C153" s="50">
        <v>44851</v>
      </c>
      <c r="D153" s="51" t="s">
        <v>511</v>
      </c>
      <c r="E153" s="49" t="s">
        <v>70</v>
      </c>
      <c r="F153" s="49" t="s">
        <v>46</v>
      </c>
      <c r="G153" s="49" t="s">
        <v>512</v>
      </c>
      <c r="H153" s="49"/>
      <c r="I153" s="50"/>
      <c r="J153" s="49"/>
      <c r="K153" s="49" t="s">
        <v>513</v>
      </c>
      <c r="L153" s="49"/>
      <c r="M153" s="50"/>
      <c r="N153" s="52"/>
    </row>
    <row r="154" spans="1:14" s="47" customFormat="1" ht="12" x14ac:dyDescent="0.2">
      <c r="A154" s="48" t="s">
        <v>354</v>
      </c>
      <c r="B154" s="49" t="s">
        <v>355</v>
      </c>
      <c r="C154" s="50">
        <v>44234</v>
      </c>
      <c r="D154" s="51" t="s">
        <v>356</v>
      </c>
      <c r="E154" s="49" t="s">
        <v>70</v>
      </c>
      <c r="F154" s="49" t="s">
        <v>46</v>
      </c>
      <c r="G154" s="49" t="s">
        <v>1654</v>
      </c>
      <c r="H154" s="49"/>
      <c r="I154" s="50"/>
      <c r="J154" s="49"/>
      <c r="K154" s="49" t="s">
        <v>284</v>
      </c>
      <c r="L154" s="49"/>
      <c r="M154" s="50"/>
      <c r="N154" s="52"/>
    </row>
    <row r="155" spans="1:14" s="47" customFormat="1" ht="12" x14ac:dyDescent="0.2">
      <c r="A155" s="48" t="s">
        <v>534</v>
      </c>
      <c r="B155" s="49" t="s">
        <v>535</v>
      </c>
      <c r="C155" s="50">
        <v>44886</v>
      </c>
      <c r="D155" s="51" t="s">
        <v>206</v>
      </c>
      <c r="E155" s="49" t="s">
        <v>70</v>
      </c>
      <c r="F155" s="49" t="s">
        <v>59</v>
      </c>
      <c r="G155" s="49" t="s">
        <v>1663</v>
      </c>
      <c r="H155" s="49"/>
      <c r="I155" s="50"/>
      <c r="J155" s="49"/>
      <c r="K155" s="49" t="s">
        <v>297</v>
      </c>
      <c r="L155" s="49"/>
      <c r="M155" s="50"/>
      <c r="N155" s="52"/>
    </row>
    <row r="156" spans="1:14" s="47" customFormat="1" ht="12" x14ac:dyDescent="0.2">
      <c r="A156" s="48" t="s">
        <v>539</v>
      </c>
      <c r="B156" s="49" t="s">
        <v>540</v>
      </c>
      <c r="C156" s="50">
        <v>44929</v>
      </c>
      <c r="D156" s="51" t="s">
        <v>181</v>
      </c>
      <c r="E156" s="49" t="s">
        <v>70</v>
      </c>
      <c r="F156" s="49" t="s">
        <v>57</v>
      </c>
      <c r="G156" s="49" t="s">
        <v>162</v>
      </c>
      <c r="H156" s="49"/>
      <c r="I156" s="50"/>
      <c r="J156" s="49"/>
      <c r="K156" s="49" t="s">
        <v>239</v>
      </c>
      <c r="L156" s="49"/>
      <c r="M156" s="50"/>
      <c r="N156" s="52"/>
    </row>
    <row r="157" spans="1:14" s="47" customFormat="1" ht="12" x14ac:dyDescent="0.2">
      <c r="A157" s="48" t="s">
        <v>416</v>
      </c>
      <c r="B157" s="49" t="s">
        <v>417</v>
      </c>
      <c r="C157" s="50">
        <v>44459</v>
      </c>
      <c r="D157" s="51" t="s">
        <v>1713</v>
      </c>
      <c r="E157" s="49" t="s">
        <v>70</v>
      </c>
      <c r="F157" s="49" t="s">
        <v>55</v>
      </c>
      <c r="G157" s="49" t="s">
        <v>329</v>
      </c>
      <c r="H157" s="49"/>
      <c r="I157" s="50"/>
      <c r="J157" s="49"/>
      <c r="K157" s="49" t="s">
        <v>55</v>
      </c>
      <c r="L157" s="49"/>
      <c r="M157" s="50"/>
      <c r="N157" s="52"/>
    </row>
    <row r="158" spans="1:14" s="47" customFormat="1" ht="12" x14ac:dyDescent="0.2">
      <c r="A158" s="48" t="s">
        <v>350</v>
      </c>
      <c r="B158" s="49" t="s">
        <v>351</v>
      </c>
      <c r="C158" s="50">
        <v>44207</v>
      </c>
      <c r="D158" s="51" t="s">
        <v>352</v>
      </c>
      <c r="E158" s="49" t="s">
        <v>70</v>
      </c>
      <c r="F158" s="49" t="s">
        <v>223</v>
      </c>
      <c r="G158" s="49" t="s">
        <v>353</v>
      </c>
      <c r="H158" s="49"/>
      <c r="I158" s="50"/>
      <c r="J158" s="49"/>
      <c r="K158" s="49" t="s">
        <v>227</v>
      </c>
      <c r="L158" s="49"/>
      <c r="M158" s="50"/>
      <c r="N158" s="52"/>
    </row>
    <row r="159" spans="1:14" s="47" customFormat="1" ht="12" x14ac:dyDescent="0.2">
      <c r="A159" s="48" t="s">
        <v>235</v>
      </c>
      <c r="B159" s="49" t="s">
        <v>236</v>
      </c>
      <c r="C159" s="50">
        <v>41984</v>
      </c>
      <c r="D159" s="51" t="s">
        <v>237</v>
      </c>
      <c r="E159" s="49" t="s">
        <v>70</v>
      </c>
      <c r="F159" s="49" t="s">
        <v>57</v>
      </c>
      <c r="G159" s="49" t="s">
        <v>238</v>
      </c>
      <c r="H159" s="49"/>
      <c r="I159" s="50"/>
      <c r="J159" s="49"/>
      <c r="K159" s="49" t="s">
        <v>617</v>
      </c>
      <c r="L159" s="49"/>
      <c r="M159" s="50"/>
      <c r="N159" s="52"/>
    </row>
    <row r="160" spans="1:14" s="47" customFormat="1" ht="12" x14ac:dyDescent="0.2">
      <c r="A160" s="48" t="s">
        <v>279</v>
      </c>
      <c r="B160" s="49" t="s">
        <v>236</v>
      </c>
      <c r="C160" s="50">
        <v>43313</v>
      </c>
      <c r="D160" s="51" t="s">
        <v>181</v>
      </c>
      <c r="E160" s="49" t="s">
        <v>70</v>
      </c>
      <c r="F160" s="49" t="s">
        <v>46</v>
      </c>
      <c r="G160" s="49" t="s">
        <v>1668</v>
      </c>
      <c r="H160" s="49"/>
      <c r="I160" s="50"/>
      <c r="J160" s="49"/>
      <c r="K160" s="59" t="s">
        <v>1671</v>
      </c>
      <c r="L160" s="49"/>
      <c r="M160" s="50"/>
      <c r="N160" s="52" t="s">
        <v>1714</v>
      </c>
    </row>
    <row r="161" spans="1:14" s="47" customFormat="1" ht="12" x14ac:dyDescent="0.2">
      <c r="A161" s="48" t="s">
        <v>405</v>
      </c>
      <c r="B161" s="49" t="s">
        <v>406</v>
      </c>
      <c r="C161" s="50">
        <v>44411</v>
      </c>
      <c r="D161" s="51" t="s">
        <v>169</v>
      </c>
      <c r="E161" s="49" t="s">
        <v>70</v>
      </c>
      <c r="F161" s="49" t="s">
        <v>46</v>
      </c>
      <c r="G161" s="49" t="s">
        <v>1668</v>
      </c>
      <c r="H161" s="49"/>
      <c r="I161" s="50"/>
      <c r="J161" s="49"/>
      <c r="K161" s="59" t="s">
        <v>1696</v>
      </c>
      <c r="L161" s="49"/>
      <c r="M161" s="50"/>
      <c r="N161" s="52"/>
    </row>
    <row r="162" spans="1:14" s="47" customFormat="1" ht="12" x14ac:dyDescent="0.2">
      <c r="A162" s="48" t="s">
        <v>167</v>
      </c>
      <c r="B162" s="49" t="s">
        <v>168</v>
      </c>
      <c r="C162" s="50">
        <v>38495</v>
      </c>
      <c r="D162" s="51" t="s">
        <v>169</v>
      </c>
      <c r="E162" s="49" t="s">
        <v>70</v>
      </c>
      <c r="F162" s="49" t="s">
        <v>46</v>
      </c>
      <c r="G162" s="49" t="s">
        <v>1668</v>
      </c>
      <c r="H162" s="49"/>
      <c r="I162" s="50"/>
      <c r="J162" s="49"/>
      <c r="K162" s="49" t="s">
        <v>1669</v>
      </c>
      <c r="L162" s="49"/>
      <c r="M162" s="50"/>
      <c r="N162" s="52"/>
    </row>
    <row r="163" spans="1:14" s="47" customFormat="1" ht="12" x14ac:dyDescent="0.2">
      <c r="A163" s="48" t="s">
        <v>474</v>
      </c>
      <c r="B163" s="49" t="s">
        <v>475</v>
      </c>
      <c r="C163" s="50">
        <v>44732</v>
      </c>
      <c r="D163" s="51" t="s">
        <v>476</v>
      </c>
      <c r="E163" s="49" t="s">
        <v>70</v>
      </c>
      <c r="F163" s="49" t="s">
        <v>59</v>
      </c>
      <c r="G163" s="49" t="s">
        <v>334</v>
      </c>
      <c r="H163" s="49"/>
      <c r="I163" s="50"/>
      <c r="J163" s="49"/>
      <c r="K163" s="49" t="s">
        <v>302</v>
      </c>
      <c r="L163" s="49"/>
      <c r="M163" s="50"/>
      <c r="N163" s="52"/>
    </row>
    <row r="164" spans="1:14" s="47" customFormat="1" ht="12" x14ac:dyDescent="0.2">
      <c r="A164" s="48" t="s">
        <v>344</v>
      </c>
      <c r="B164" s="49" t="s">
        <v>345</v>
      </c>
      <c r="C164" s="50" t="s">
        <v>114</v>
      </c>
      <c r="D164" s="51" t="s">
        <v>346</v>
      </c>
      <c r="E164" s="49" t="s">
        <v>70</v>
      </c>
      <c r="F164" s="49" t="s">
        <v>59</v>
      </c>
      <c r="G164" s="95" t="s">
        <v>334</v>
      </c>
      <c r="H164" s="49"/>
      <c r="I164" s="50"/>
      <c r="J164" s="49"/>
      <c r="K164" s="49" t="s">
        <v>302</v>
      </c>
      <c r="L164" s="49"/>
      <c r="M164" s="50"/>
      <c r="N164" s="52" t="s">
        <v>348</v>
      </c>
    </row>
    <row r="165" spans="1:14" s="47" customFormat="1" ht="12" x14ac:dyDescent="0.2">
      <c r="A165" s="48" t="s">
        <v>527</v>
      </c>
      <c r="B165" s="49" t="s">
        <v>528</v>
      </c>
      <c r="C165" s="50">
        <v>44879</v>
      </c>
      <c r="D165" s="51" t="s">
        <v>1479</v>
      </c>
      <c r="E165" s="49" t="s">
        <v>70</v>
      </c>
      <c r="F165" s="49" t="s">
        <v>46</v>
      </c>
      <c r="G165" s="49" t="s">
        <v>512</v>
      </c>
      <c r="H165" s="49"/>
      <c r="I165" s="50"/>
      <c r="J165" s="49"/>
      <c r="K165" s="49" t="s">
        <v>513</v>
      </c>
      <c r="L165" s="49"/>
      <c r="M165" s="50"/>
      <c r="N165" s="52"/>
    </row>
    <row r="166" spans="1:14" s="47" customFormat="1" ht="12" x14ac:dyDescent="0.2">
      <c r="A166" s="48" t="s">
        <v>657</v>
      </c>
      <c r="B166" s="49" t="s">
        <v>658</v>
      </c>
      <c r="C166" s="50">
        <v>45384</v>
      </c>
      <c r="D166" s="51" t="s">
        <v>659</v>
      </c>
      <c r="E166" s="49" t="s">
        <v>70</v>
      </c>
      <c r="F166" s="49" t="s">
        <v>60</v>
      </c>
      <c r="G166" s="49" t="s">
        <v>660</v>
      </c>
      <c r="H166" s="49"/>
      <c r="I166" s="50"/>
      <c r="J166" s="49"/>
      <c r="K166" s="49" t="s">
        <v>60</v>
      </c>
      <c r="L166" s="49"/>
      <c r="M166" s="50"/>
      <c r="N166" s="52"/>
    </row>
    <row r="167" spans="1:14" s="47" customFormat="1" ht="12" x14ac:dyDescent="0.2">
      <c r="A167" s="48" t="s">
        <v>491</v>
      </c>
      <c r="B167" s="49" t="s">
        <v>612</v>
      </c>
      <c r="C167" s="50">
        <v>45177</v>
      </c>
      <c r="D167" s="51" t="s">
        <v>1078</v>
      </c>
      <c r="E167" s="49" t="s">
        <v>70</v>
      </c>
      <c r="F167" s="49" t="s">
        <v>61</v>
      </c>
      <c r="G167" s="49" t="s">
        <v>1691</v>
      </c>
      <c r="H167" s="49" t="s">
        <v>61</v>
      </c>
      <c r="I167" s="88">
        <v>45467</v>
      </c>
      <c r="J167" s="49" t="s">
        <v>392</v>
      </c>
      <c r="K167" s="49" t="s">
        <v>419</v>
      </c>
      <c r="L167" s="49" t="s">
        <v>175</v>
      </c>
      <c r="M167" s="50"/>
      <c r="N167" s="52"/>
    </row>
    <row r="168" spans="1:14" s="47" customFormat="1" ht="12" x14ac:dyDescent="0.2">
      <c r="A168" s="48" t="s">
        <v>378</v>
      </c>
      <c r="B168" s="49" t="s">
        <v>379</v>
      </c>
      <c r="C168" s="50">
        <v>44336</v>
      </c>
      <c r="D168" s="51" t="s">
        <v>372</v>
      </c>
      <c r="E168" s="49" t="s">
        <v>70</v>
      </c>
      <c r="F168" s="49" t="s">
        <v>61</v>
      </c>
      <c r="G168" s="49" t="s">
        <v>314</v>
      </c>
      <c r="H168" s="49"/>
      <c r="I168" s="50"/>
      <c r="J168" s="49"/>
      <c r="K168" s="49" t="s">
        <v>467</v>
      </c>
      <c r="L168" s="49"/>
      <c r="M168" s="50"/>
      <c r="N168" s="52" t="s">
        <v>381</v>
      </c>
    </row>
    <row r="169" spans="1:14" s="47" customFormat="1" ht="12" x14ac:dyDescent="0.2">
      <c r="A169" s="48" t="s">
        <v>144</v>
      </c>
      <c r="B169" s="49" t="s">
        <v>145</v>
      </c>
      <c r="C169" s="50">
        <v>35338</v>
      </c>
      <c r="D169" s="51" t="s">
        <v>146</v>
      </c>
      <c r="E169" s="49" t="s">
        <v>70</v>
      </c>
      <c r="F169" s="49" t="s">
        <v>57</v>
      </c>
      <c r="G169" s="49" t="s">
        <v>490</v>
      </c>
      <c r="H169" s="49"/>
      <c r="I169" s="50"/>
      <c r="J169" s="49"/>
      <c r="K169" s="49" t="s">
        <v>1670</v>
      </c>
      <c r="L169" s="49"/>
      <c r="M169" s="50"/>
      <c r="N169" s="52"/>
    </row>
    <row r="170" spans="1:14" s="47" customFormat="1" ht="12" x14ac:dyDescent="0.2">
      <c r="A170" s="62" t="s">
        <v>204</v>
      </c>
      <c r="B170" s="63" t="s">
        <v>205</v>
      </c>
      <c r="C170" s="64">
        <v>41390</v>
      </c>
      <c r="D170" s="65" t="s">
        <v>206</v>
      </c>
      <c r="E170" s="63" t="s">
        <v>1679</v>
      </c>
      <c r="F170" s="63" t="s">
        <v>46</v>
      </c>
      <c r="G170" s="63" t="s">
        <v>207</v>
      </c>
      <c r="H170" s="63"/>
      <c r="I170" s="64"/>
      <c r="J170" s="63"/>
      <c r="K170" s="63" t="s">
        <v>1671</v>
      </c>
      <c r="L170" s="63"/>
      <c r="M170" s="64"/>
      <c r="N170" s="66" t="s">
        <v>208</v>
      </c>
    </row>
    <row r="171" spans="1:14" x14ac:dyDescent="0.2">
      <c r="A171" s="3"/>
      <c r="B171" s="3"/>
      <c r="C171" s="1"/>
      <c r="D171" s="4"/>
      <c r="E171" s="3"/>
      <c r="F171" s="3"/>
      <c r="G171" s="3"/>
    </row>
    <row r="177" spans="1:14" ht="15" x14ac:dyDescent="0.25">
      <c r="A177" s="67" t="s">
        <v>1715</v>
      </c>
    </row>
    <row r="178" spans="1:14" ht="13.9" customHeight="1" x14ac:dyDescent="0.2">
      <c r="A178" s="9" t="s">
        <v>128</v>
      </c>
      <c r="B178" s="10" t="s">
        <v>129</v>
      </c>
      <c r="C178" s="11" t="s">
        <v>130</v>
      </c>
      <c r="D178" s="10" t="s">
        <v>131</v>
      </c>
      <c r="E178" s="12" t="s">
        <v>68</v>
      </c>
      <c r="F178" s="13" t="s">
        <v>134</v>
      </c>
      <c r="G178" s="13" t="s">
        <v>1653</v>
      </c>
      <c r="H178" s="14" t="s">
        <v>135</v>
      </c>
      <c r="I178" s="14" t="s">
        <v>136</v>
      </c>
      <c r="J178" s="14" t="s">
        <v>137</v>
      </c>
      <c r="K178" s="15" t="s">
        <v>117</v>
      </c>
      <c r="L178" s="15" t="s">
        <v>138</v>
      </c>
      <c r="M178" s="15" t="s">
        <v>139</v>
      </c>
      <c r="N178" s="16" t="s">
        <v>140</v>
      </c>
    </row>
    <row r="179" spans="1:14" x14ac:dyDescent="0.2">
      <c r="A179" s="17" t="s">
        <v>273</v>
      </c>
      <c r="B179" s="6" t="s">
        <v>168</v>
      </c>
      <c r="C179" s="7">
        <v>43220</v>
      </c>
      <c r="D179" s="8" t="s">
        <v>274</v>
      </c>
      <c r="E179" s="6" t="s">
        <v>62</v>
      </c>
      <c r="F179" s="6"/>
      <c r="G179" s="6"/>
      <c r="H179" s="6"/>
      <c r="I179" s="7"/>
      <c r="J179" s="6"/>
      <c r="K179" s="6"/>
      <c r="L179" s="6"/>
      <c r="M179" s="7"/>
      <c r="N179" s="18"/>
    </row>
    <row r="180" spans="1:14" x14ac:dyDescent="0.2">
      <c r="A180" s="17" t="s">
        <v>408</v>
      </c>
      <c r="B180" s="6" t="s">
        <v>409</v>
      </c>
      <c r="C180" s="7">
        <v>44431</v>
      </c>
      <c r="D180" s="6" t="s">
        <v>274</v>
      </c>
      <c r="E180" s="6" t="s">
        <v>62</v>
      </c>
      <c r="F180" s="19"/>
      <c r="G180" s="19"/>
      <c r="H180" s="19"/>
      <c r="I180" s="68"/>
      <c r="J180" s="19"/>
      <c r="K180" s="19"/>
      <c r="L180" s="19"/>
      <c r="M180" s="19"/>
      <c r="N180" s="69"/>
    </row>
    <row r="181" spans="1:14" x14ac:dyDescent="0.2">
      <c r="A181" s="17" t="s">
        <v>472</v>
      </c>
      <c r="B181" s="17" t="s">
        <v>473</v>
      </c>
      <c r="C181" s="7">
        <v>44729</v>
      </c>
      <c r="D181" s="6" t="s">
        <v>274</v>
      </c>
      <c r="E181" s="6" t="s">
        <v>62</v>
      </c>
      <c r="F181" s="19"/>
      <c r="G181" s="19"/>
      <c r="H181" s="19"/>
      <c r="I181" s="68"/>
      <c r="J181" s="19"/>
      <c r="K181" s="19"/>
      <c r="L181" s="19"/>
      <c r="M181" s="19"/>
      <c r="N181" s="69"/>
    </row>
    <row r="182" spans="1:14" x14ac:dyDescent="0.2">
      <c r="A182" s="17" t="s">
        <v>1297</v>
      </c>
      <c r="B182" s="17" t="s">
        <v>548</v>
      </c>
      <c r="C182" s="7">
        <v>44431</v>
      </c>
      <c r="D182" s="6" t="s">
        <v>274</v>
      </c>
      <c r="E182" s="6" t="s">
        <v>62</v>
      </c>
      <c r="F182" s="70"/>
      <c r="G182" s="70"/>
      <c r="H182" s="70"/>
      <c r="I182" s="71"/>
      <c r="J182" s="70"/>
      <c r="K182" s="70"/>
      <c r="L182" s="70"/>
      <c r="M182" s="70"/>
      <c r="N182" s="72"/>
    </row>
    <row r="183" spans="1:14" x14ac:dyDescent="0.2">
      <c r="A183" s="17" t="s">
        <v>1184</v>
      </c>
      <c r="B183" s="17" t="s">
        <v>1185</v>
      </c>
      <c r="C183" s="7">
        <v>44155</v>
      </c>
      <c r="D183" s="6" t="s">
        <v>1186</v>
      </c>
      <c r="E183" s="6" t="s">
        <v>1716</v>
      </c>
      <c r="F183" s="70"/>
      <c r="G183" s="70"/>
      <c r="H183" s="70"/>
      <c r="I183" s="71"/>
      <c r="J183" s="70"/>
      <c r="K183" s="70"/>
      <c r="L183" s="70"/>
      <c r="M183" s="70"/>
      <c r="N183" s="72"/>
    </row>
  </sheetData>
  <sortState xmlns:xlrd2="http://schemas.microsoft.com/office/spreadsheetml/2017/richdata2" ref="A58:G91">
    <sortCondition ref="A58:A91"/>
  </sortState>
  <pageMargins left="0.7" right="0.7" top="0.75" bottom="0.75" header="0.3" footer="0.3"/>
  <headerFooter>
    <oddHeader>&amp;C&amp;"Calibri"&amp;10&amp;K000000 [PROTECTED_INTERNAL]&amp;1#_x000D_</oddHeader>
  </headerFooter>
  <legacy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A0CD-5D71-42FC-972E-DE92281858E1}">
  <dimension ref="A1:S69"/>
  <sheetViews>
    <sheetView workbookViewId="0"/>
  </sheetViews>
  <sheetFormatPr defaultColWidth="9.28515625" defaultRowHeight="15" x14ac:dyDescent="0.25"/>
  <cols>
    <col min="1" max="1" width="13.42578125" style="21" customWidth="1"/>
    <col min="2" max="2" width="15.28515625" style="21" customWidth="1"/>
    <col min="3" max="3" width="14.85546875" style="21" customWidth="1"/>
    <col min="4" max="4" width="18.28515625" style="21" customWidth="1"/>
    <col min="5" max="5" width="39.42578125" style="21" customWidth="1"/>
    <col min="6" max="6" width="12.42578125" style="26" customWidth="1"/>
    <col min="7" max="7" width="44.140625" style="21" customWidth="1"/>
    <col min="8" max="8" width="83.42578125" style="21" customWidth="1"/>
    <col min="9" max="9" width="13.42578125" style="21" customWidth="1"/>
    <col min="10" max="16384" width="9.28515625" style="21"/>
  </cols>
  <sheetData>
    <row r="1" spans="1:19" ht="18.75" x14ac:dyDescent="0.3">
      <c r="A1" s="20" t="s">
        <v>1717</v>
      </c>
      <c r="F1" s="21"/>
      <c r="G1" s="22"/>
      <c r="H1" s="23" t="s">
        <v>1718</v>
      </c>
    </row>
    <row r="2" spans="1:19" ht="12.75" x14ac:dyDescent="0.2">
      <c r="F2" s="21"/>
    </row>
    <row r="3" spans="1:19" ht="12.75" x14ac:dyDescent="0.2">
      <c r="A3" s="24" t="s">
        <v>1719</v>
      </c>
      <c r="B3" s="24" t="s">
        <v>1720</v>
      </c>
      <c r="C3" s="24" t="s">
        <v>1721</v>
      </c>
      <c r="D3" s="24" t="s">
        <v>1722</v>
      </c>
      <c r="E3" s="24" t="s">
        <v>1723</v>
      </c>
      <c r="F3" s="24" t="s">
        <v>1724</v>
      </c>
      <c r="G3" s="24" t="s">
        <v>1725</v>
      </c>
      <c r="H3" s="24" t="s">
        <v>1726</v>
      </c>
    </row>
    <row r="4" spans="1:19" s="74" customFormat="1" ht="60" x14ac:dyDescent="0.2">
      <c r="A4" s="73">
        <v>45440</v>
      </c>
      <c r="B4" s="74" t="s">
        <v>177</v>
      </c>
      <c r="C4" s="74" t="s">
        <v>1727</v>
      </c>
      <c r="D4" s="74" t="s">
        <v>1728</v>
      </c>
      <c r="E4" s="75" t="s">
        <v>1729</v>
      </c>
      <c r="F4" s="74" t="s">
        <v>1730</v>
      </c>
      <c r="G4" s="75" t="s">
        <v>1731</v>
      </c>
      <c r="H4" s="75" t="s">
        <v>1732</v>
      </c>
    </row>
    <row r="5" spans="1:19" s="74" customFormat="1" ht="36" x14ac:dyDescent="0.2">
      <c r="A5" s="73">
        <v>45464</v>
      </c>
      <c r="B5" s="74" t="s">
        <v>1733</v>
      </c>
      <c r="C5" s="74" t="s">
        <v>1734</v>
      </c>
      <c r="D5" s="74" t="s">
        <v>61</v>
      </c>
      <c r="E5" s="75" t="s">
        <v>1735</v>
      </c>
      <c r="F5" s="74" t="s">
        <v>1736</v>
      </c>
      <c r="G5" s="75" t="s">
        <v>1737</v>
      </c>
    </row>
    <row r="6" spans="1:19" s="74" customFormat="1" ht="12" x14ac:dyDescent="0.2">
      <c r="A6" s="73"/>
      <c r="E6" s="75"/>
      <c r="G6" s="75"/>
    </row>
    <row r="7" spans="1:19" s="74" customFormat="1" ht="12" x14ac:dyDescent="0.2">
      <c r="A7" s="73"/>
      <c r="E7" s="75"/>
      <c r="G7" s="75"/>
    </row>
    <row r="8" spans="1:19" s="74" customFormat="1" ht="12" x14ac:dyDescent="0.2">
      <c r="A8" s="73"/>
      <c r="E8" s="75"/>
      <c r="G8" s="75"/>
    </row>
    <row r="9" spans="1:19" s="74" customFormat="1" ht="12" x14ac:dyDescent="0.2">
      <c r="A9" s="73"/>
      <c r="E9" s="75"/>
      <c r="G9" s="75"/>
    </row>
    <row r="10" spans="1:19" s="74" customFormat="1" ht="12" x14ac:dyDescent="0.2">
      <c r="A10" s="73"/>
    </row>
    <row r="11" spans="1:19" s="74" customFormat="1" ht="12" x14ac:dyDescent="0.2">
      <c r="A11" s="73"/>
      <c r="E11" s="76" t="s">
        <v>1738</v>
      </c>
    </row>
    <row r="12" spans="1:19" ht="12.75" x14ac:dyDescent="0.2">
      <c r="A12" s="25"/>
      <c r="F12" s="21"/>
    </row>
    <row r="13" spans="1:19" ht="12.75" x14ac:dyDescent="0.2">
      <c r="A13" s="25"/>
      <c r="F13" s="21"/>
    </row>
    <row r="14" spans="1:19" ht="12.75" x14ac:dyDescent="0.2">
      <c r="A14" s="25"/>
      <c r="F14" s="21"/>
      <c r="S14" s="21" t="s">
        <v>1739</v>
      </c>
    </row>
    <row r="15" spans="1:19" ht="18.75" x14ac:dyDescent="0.3">
      <c r="A15" s="20" t="s">
        <v>1740</v>
      </c>
    </row>
    <row r="17" spans="1:13" ht="12.75" x14ac:dyDescent="0.2">
      <c r="A17" s="27" t="s">
        <v>1719</v>
      </c>
      <c r="B17" s="27" t="s">
        <v>1720</v>
      </c>
      <c r="C17" s="28" t="s">
        <v>1741</v>
      </c>
      <c r="D17" s="27" t="s">
        <v>1742</v>
      </c>
      <c r="E17" s="27" t="s">
        <v>1743</v>
      </c>
      <c r="F17" s="27" t="s">
        <v>1722</v>
      </c>
      <c r="G17" s="27" t="s">
        <v>1724</v>
      </c>
      <c r="H17" s="27" t="s">
        <v>140</v>
      </c>
    </row>
    <row r="18" spans="1:13" s="74" customFormat="1" ht="12" x14ac:dyDescent="0.2">
      <c r="A18" s="77">
        <v>45449</v>
      </c>
      <c r="B18" s="78" t="s">
        <v>218</v>
      </c>
      <c r="C18" s="78"/>
      <c r="D18" s="78" t="s">
        <v>218</v>
      </c>
      <c r="E18" s="78" t="s">
        <v>1744</v>
      </c>
      <c r="F18" s="78"/>
      <c r="G18" s="78" t="s">
        <v>1745</v>
      </c>
      <c r="H18" s="79"/>
    </row>
    <row r="19" spans="1:13" s="74" customFormat="1" ht="12" x14ac:dyDescent="0.2">
      <c r="A19" s="77"/>
      <c r="B19" s="78"/>
      <c r="C19" s="78"/>
      <c r="D19" s="78"/>
      <c r="E19" s="78"/>
      <c r="F19" s="78"/>
      <c r="G19" s="78"/>
      <c r="H19" s="78"/>
    </row>
    <row r="20" spans="1:13" s="74" customFormat="1" ht="12" x14ac:dyDescent="0.2">
      <c r="A20" s="77"/>
      <c r="B20" s="78"/>
      <c r="C20" s="78"/>
      <c r="D20" s="78"/>
      <c r="E20" s="78"/>
      <c r="F20" s="78"/>
      <c r="G20" s="78"/>
      <c r="H20" s="78"/>
    </row>
    <row r="21" spans="1:13" s="74" customFormat="1" ht="12" x14ac:dyDescent="0.2">
      <c r="A21" s="77"/>
      <c r="B21" s="78"/>
      <c r="C21" s="78"/>
      <c r="D21" s="78"/>
      <c r="E21" s="78"/>
      <c r="F21" s="78"/>
      <c r="G21" s="78"/>
      <c r="H21" s="78"/>
    </row>
    <row r="22" spans="1:13" s="74" customFormat="1" ht="12" x14ac:dyDescent="0.2">
      <c r="A22" s="77"/>
      <c r="B22" s="78"/>
      <c r="C22" s="78"/>
      <c r="D22" s="78"/>
      <c r="E22" s="78"/>
      <c r="F22" s="78"/>
      <c r="G22" s="78"/>
      <c r="H22" s="78"/>
    </row>
    <row r="23" spans="1:13" s="74" customFormat="1" ht="12" x14ac:dyDescent="0.2">
      <c r="A23" s="89"/>
      <c r="B23" s="82"/>
      <c r="C23" s="82"/>
      <c r="D23" s="82"/>
      <c r="E23" s="82"/>
      <c r="F23" s="82"/>
      <c r="G23" s="82"/>
      <c r="H23" s="82"/>
      <c r="M23" s="29"/>
    </row>
    <row r="24" spans="1:13" ht="12.75" x14ac:dyDescent="0.2">
      <c r="A24" s="30"/>
      <c r="F24" s="21"/>
      <c r="M24" s="29"/>
    </row>
    <row r="25" spans="1:13" ht="12.75" x14ac:dyDescent="0.2">
      <c r="A25" s="30"/>
      <c r="F25" s="21"/>
      <c r="M25" s="29"/>
    </row>
    <row r="26" spans="1:13" ht="18.75" x14ac:dyDescent="0.3">
      <c r="A26" s="20" t="s">
        <v>1746</v>
      </c>
      <c r="F26" s="21"/>
    </row>
    <row r="27" spans="1:13" ht="12.75" x14ac:dyDescent="0.2">
      <c r="A27" s="27" t="s">
        <v>1747</v>
      </c>
      <c r="B27" s="31" t="s">
        <v>1748</v>
      </c>
      <c r="C27" s="31" t="s">
        <v>1749</v>
      </c>
      <c r="D27" s="31" t="s">
        <v>1750</v>
      </c>
      <c r="E27" s="31" t="s">
        <v>1751</v>
      </c>
      <c r="F27" s="31" t="s">
        <v>1752</v>
      </c>
      <c r="G27" s="31" t="s">
        <v>1724</v>
      </c>
      <c r="H27" s="32" t="s">
        <v>1725</v>
      </c>
    </row>
    <row r="28" spans="1:13" s="74" customFormat="1" ht="12" x14ac:dyDescent="0.2">
      <c r="A28" s="77"/>
      <c r="B28" s="80"/>
      <c r="C28" s="81"/>
      <c r="D28" s="81"/>
      <c r="E28" s="81"/>
      <c r="F28" s="80"/>
      <c r="G28" s="81"/>
      <c r="H28" s="82"/>
    </row>
    <row r="29" spans="1:13" s="74" customFormat="1" ht="12" x14ac:dyDescent="0.2">
      <c r="A29" s="77"/>
      <c r="B29" s="80"/>
      <c r="C29" s="81"/>
      <c r="D29" s="81"/>
      <c r="E29" s="81"/>
      <c r="F29" s="80"/>
      <c r="G29" s="81"/>
      <c r="H29" s="82"/>
    </row>
    <row r="30" spans="1:13" s="74" customFormat="1" ht="12" x14ac:dyDescent="0.2">
      <c r="A30" s="77"/>
      <c r="B30" s="83"/>
      <c r="C30" s="84"/>
      <c r="D30" s="84"/>
      <c r="E30" s="84"/>
      <c r="F30" s="83"/>
      <c r="G30" s="84"/>
      <c r="H30" s="78"/>
    </row>
    <row r="31" spans="1:13" s="74" customFormat="1" ht="12" x14ac:dyDescent="0.2">
      <c r="A31" s="77"/>
      <c r="B31" s="80"/>
      <c r="C31" s="81"/>
      <c r="D31" s="81"/>
      <c r="E31" s="81"/>
      <c r="F31" s="80"/>
      <c r="G31" s="81"/>
      <c r="H31" s="82"/>
    </row>
    <row r="32" spans="1:13" s="74" customFormat="1" ht="12" x14ac:dyDescent="0.2">
      <c r="A32" s="77"/>
      <c r="B32" s="80"/>
      <c r="C32" s="81"/>
      <c r="D32" s="81"/>
      <c r="E32" s="81"/>
      <c r="F32" s="80"/>
      <c r="G32" s="81"/>
      <c r="H32" s="82"/>
    </row>
    <row r="33" spans="1:14" s="74" customFormat="1" ht="12" x14ac:dyDescent="0.2">
      <c r="A33" s="77"/>
      <c r="B33" s="80"/>
      <c r="C33" s="81"/>
      <c r="D33" s="81"/>
      <c r="E33" s="81"/>
      <c r="F33" s="80"/>
      <c r="G33" s="81"/>
      <c r="H33" s="82"/>
      <c r="M33" s="29"/>
    </row>
    <row r="34" spans="1:14" s="74" customFormat="1" ht="12" x14ac:dyDescent="0.2">
      <c r="A34" s="77"/>
      <c r="B34" s="80"/>
      <c r="C34" s="81"/>
      <c r="D34" s="81"/>
      <c r="E34" s="81"/>
      <c r="F34" s="80"/>
      <c r="G34" s="81"/>
      <c r="H34" s="82"/>
    </row>
    <row r="35" spans="1:14" ht="12.75" x14ac:dyDescent="0.2">
      <c r="A35" s="33"/>
      <c r="F35" s="21"/>
      <c r="G35" s="34"/>
      <c r="I35" s="24"/>
    </row>
    <row r="37" spans="1:14" ht="18.75" x14ac:dyDescent="0.3">
      <c r="A37" s="20" t="s">
        <v>1753</v>
      </c>
    </row>
    <row r="38" spans="1:14" s="74" customFormat="1" ht="12" x14ac:dyDescent="0.2">
      <c r="A38" s="85" t="s">
        <v>1719</v>
      </c>
      <c r="B38" s="85" t="s">
        <v>128</v>
      </c>
      <c r="C38" s="85" t="s">
        <v>1754</v>
      </c>
      <c r="D38" s="85" t="s">
        <v>1755</v>
      </c>
      <c r="E38" s="85" t="s">
        <v>1756</v>
      </c>
      <c r="F38" s="85" t="s">
        <v>1757</v>
      </c>
      <c r="G38" s="85" t="s">
        <v>1758</v>
      </c>
      <c r="H38" s="85" t="s">
        <v>1759</v>
      </c>
    </row>
    <row r="39" spans="1:14" s="74" customFormat="1" ht="12" x14ac:dyDescent="0.2">
      <c r="A39" s="77">
        <v>45463</v>
      </c>
      <c r="B39" s="78" t="s">
        <v>573</v>
      </c>
      <c r="C39" s="78" t="s">
        <v>574</v>
      </c>
      <c r="D39" s="78" t="s">
        <v>57</v>
      </c>
      <c r="E39" s="78" t="s">
        <v>239</v>
      </c>
      <c r="F39" s="78" t="s">
        <v>61</v>
      </c>
      <c r="G39" s="78" t="s">
        <v>175</v>
      </c>
      <c r="H39" s="78" t="s">
        <v>1760</v>
      </c>
    </row>
    <row r="40" spans="1:14" s="74" customFormat="1" ht="12" x14ac:dyDescent="0.2">
      <c r="A40" s="77">
        <v>45467</v>
      </c>
      <c r="B40" s="78" t="s">
        <v>390</v>
      </c>
      <c r="C40" s="78" t="s">
        <v>391</v>
      </c>
      <c r="D40" s="78" t="s">
        <v>59</v>
      </c>
      <c r="E40" s="78" t="s">
        <v>343</v>
      </c>
      <c r="F40" s="78" t="s">
        <v>61</v>
      </c>
      <c r="G40" s="78" t="s">
        <v>175</v>
      </c>
      <c r="H40" s="78" t="s">
        <v>1761</v>
      </c>
    </row>
    <row r="41" spans="1:14" s="74" customFormat="1" ht="12" x14ac:dyDescent="0.2">
      <c r="A41" s="77">
        <v>45467</v>
      </c>
      <c r="B41" s="78" t="s">
        <v>522</v>
      </c>
      <c r="C41" s="78" t="s">
        <v>523</v>
      </c>
      <c r="D41" s="78" t="s">
        <v>59</v>
      </c>
      <c r="E41" s="78" t="s">
        <v>343</v>
      </c>
      <c r="F41" s="78" t="s">
        <v>61</v>
      </c>
      <c r="G41" s="78" t="s">
        <v>175</v>
      </c>
      <c r="H41" s="78" t="s">
        <v>1761</v>
      </c>
    </row>
    <row r="42" spans="1:14" s="74" customFormat="1" ht="12" x14ac:dyDescent="0.2">
      <c r="A42" s="77">
        <v>45467</v>
      </c>
      <c r="B42" s="78" t="s">
        <v>491</v>
      </c>
      <c r="C42" s="78" t="s">
        <v>612</v>
      </c>
      <c r="D42" s="78" t="s">
        <v>61</v>
      </c>
      <c r="E42" s="78" t="s">
        <v>419</v>
      </c>
      <c r="F42" s="78" t="s">
        <v>61</v>
      </c>
      <c r="G42" s="78" t="s">
        <v>175</v>
      </c>
      <c r="H42" s="78" t="s">
        <v>1761</v>
      </c>
    </row>
    <row r="43" spans="1:14" s="74" customFormat="1" ht="12" x14ac:dyDescent="0.2">
      <c r="A43" s="77">
        <v>45480</v>
      </c>
      <c r="B43" s="78" t="s">
        <v>401</v>
      </c>
      <c r="C43" s="78" t="s">
        <v>402</v>
      </c>
      <c r="D43" s="78" t="s">
        <v>59</v>
      </c>
      <c r="E43" s="78" t="s">
        <v>297</v>
      </c>
      <c r="F43" s="78" t="s">
        <v>61</v>
      </c>
      <c r="G43" s="78" t="s">
        <v>175</v>
      </c>
      <c r="H43" s="78" t="s">
        <v>1762</v>
      </c>
    </row>
    <row r="44" spans="1:14" s="74" customFormat="1" ht="12" x14ac:dyDescent="0.2">
      <c r="A44" s="77">
        <v>45537</v>
      </c>
      <c r="B44" s="78" t="s">
        <v>311</v>
      </c>
      <c r="C44" s="78" t="s">
        <v>312</v>
      </c>
      <c r="D44" s="78" t="s">
        <v>57</v>
      </c>
      <c r="E44" s="78" t="s">
        <v>72</v>
      </c>
      <c r="F44" s="78" t="s">
        <v>61</v>
      </c>
      <c r="G44" s="78" t="s">
        <v>175</v>
      </c>
      <c r="H44" s="78" t="s">
        <v>1763</v>
      </c>
    </row>
    <row r="45" spans="1:14" s="74" customFormat="1" ht="12" x14ac:dyDescent="0.2">
      <c r="A45" s="77">
        <v>45569</v>
      </c>
      <c r="B45" s="78" t="s">
        <v>547</v>
      </c>
      <c r="C45" s="78" t="s">
        <v>548</v>
      </c>
      <c r="D45" s="78" t="s">
        <v>59</v>
      </c>
      <c r="E45" s="78" t="s">
        <v>297</v>
      </c>
      <c r="F45" s="78" t="s">
        <v>61</v>
      </c>
      <c r="G45" s="78" t="s">
        <v>175</v>
      </c>
      <c r="H45" s="78" t="s">
        <v>1763</v>
      </c>
    </row>
    <row r="46" spans="1:14" s="74" customFormat="1" ht="12" x14ac:dyDescent="0.2">
      <c r="A46" s="77">
        <v>45569</v>
      </c>
      <c r="B46" s="78" t="s">
        <v>641</v>
      </c>
      <c r="C46" s="78" t="s">
        <v>642</v>
      </c>
      <c r="D46" s="78" t="s">
        <v>59</v>
      </c>
      <c r="E46" s="78" t="s">
        <v>297</v>
      </c>
      <c r="F46" s="78" t="s">
        <v>61</v>
      </c>
      <c r="G46" s="78" t="s">
        <v>175</v>
      </c>
      <c r="H46" s="78" t="s">
        <v>1763</v>
      </c>
      <c r="I46" s="35"/>
      <c r="J46" s="36"/>
      <c r="K46" s="36"/>
      <c r="L46" s="36"/>
      <c r="M46" s="35"/>
      <c r="N46" s="36"/>
    </row>
    <row r="47" spans="1:14" s="74" customFormat="1" ht="12" x14ac:dyDescent="0.2">
      <c r="A47" s="77">
        <v>45569</v>
      </c>
      <c r="B47" s="78" t="s">
        <v>555</v>
      </c>
      <c r="C47" s="78" t="s">
        <v>556</v>
      </c>
      <c r="D47" s="78" t="s">
        <v>59</v>
      </c>
      <c r="E47" s="78" t="s">
        <v>297</v>
      </c>
      <c r="F47" s="78" t="s">
        <v>61</v>
      </c>
      <c r="G47" s="78" t="s">
        <v>175</v>
      </c>
      <c r="H47" s="78" t="s">
        <v>1763</v>
      </c>
      <c r="I47" s="35"/>
      <c r="J47" s="36"/>
      <c r="K47" s="36"/>
      <c r="L47" s="36"/>
      <c r="M47" s="35"/>
      <c r="N47" s="36"/>
    </row>
    <row r="48" spans="1:14" s="74" customFormat="1" ht="12" x14ac:dyDescent="0.2">
      <c r="A48" s="77">
        <v>45569</v>
      </c>
      <c r="B48" s="78" t="s">
        <v>550</v>
      </c>
      <c r="C48" s="78" t="s">
        <v>551</v>
      </c>
      <c r="D48" s="78" t="s">
        <v>59</v>
      </c>
      <c r="E48" s="78" t="s">
        <v>297</v>
      </c>
      <c r="F48" s="78" t="s">
        <v>61</v>
      </c>
      <c r="G48" s="78" t="s">
        <v>175</v>
      </c>
      <c r="H48" s="78" t="s">
        <v>1763</v>
      </c>
      <c r="I48" s="35"/>
      <c r="J48" s="36"/>
      <c r="K48" s="36"/>
      <c r="L48" s="36"/>
      <c r="M48" s="35"/>
      <c r="N48" s="36"/>
    </row>
    <row r="49" spans="1:14" s="74" customFormat="1" ht="12" x14ac:dyDescent="0.2">
      <c r="A49" s="77">
        <v>45569</v>
      </c>
      <c r="B49" s="78" t="s">
        <v>557</v>
      </c>
      <c r="C49" s="78" t="s">
        <v>558</v>
      </c>
      <c r="D49" s="78" t="s">
        <v>59</v>
      </c>
      <c r="E49" s="78" t="s">
        <v>297</v>
      </c>
      <c r="F49" s="78" t="s">
        <v>61</v>
      </c>
      <c r="G49" s="78" t="s">
        <v>175</v>
      </c>
      <c r="H49" s="78" t="s">
        <v>1763</v>
      </c>
      <c r="I49" s="35"/>
      <c r="J49" s="36"/>
      <c r="K49" s="36"/>
      <c r="L49" s="36"/>
      <c r="M49" s="35"/>
      <c r="N49" s="36"/>
    </row>
    <row r="50" spans="1:14" s="74" customFormat="1" ht="12" x14ac:dyDescent="0.2">
      <c r="A50" s="96">
        <v>45569</v>
      </c>
      <c r="B50" s="78" t="s">
        <v>553</v>
      </c>
      <c r="C50" s="78" t="s">
        <v>554</v>
      </c>
      <c r="D50" s="78" t="s">
        <v>59</v>
      </c>
      <c r="E50" s="78" t="s">
        <v>297</v>
      </c>
      <c r="F50" s="78" t="s">
        <v>61</v>
      </c>
      <c r="G50" s="78" t="s">
        <v>175</v>
      </c>
      <c r="H50" s="78" t="s">
        <v>1763</v>
      </c>
      <c r="I50" s="35"/>
      <c r="J50" s="36"/>
      <c r="K50" s="36"/>
      <c r="L50" s="36"/>
      <c r="M50" s="35"/>
      <c r="N50" s="36"/>
    </row>
    <row r="51" spans="1:14" s="74" customFormat="1" ht="12" x14ac:dyDescent="0.2">
      <c r="A51" s="89">
        <v>45616</v>
      </c>
      <c r="B51" s="82" t="s">
        <v>1709</v>
      </c>
      <c r="C51" s="82" t="s">
        <v>463</v>
      </c>
      <c r="D51" s="78" t="s">
        <v>1710</v>
      </c>
      <c r="E51" s="82" t="s">
        <v>467</v>
      </c>
      <c r="F51" s="82" t="s">
        <v>465</v>
      </c>
      <c r="G51" s="82" t="s">
        <v>467</v>
      </c>
      <c r="H51" s="82" t="s">
        <v>1763</v>
      </c>
      <c r="I51" s="35"/>
      <c r="J51" s="36"/>
      <c r="K51" s="36"/>
      <c r="L51" s="36"/>
      <c r="M51" s="35"/>
      <c r="N51" s="36"/>
    </row>
    <row r="52" spans="1:14" ht="12.75" x14ac:dyDescent="0.2">
      <c r="A52" s="90">
        <v>45467</v>
      </c>
      <c r="B52" s="48" t="s">
        <v>451</v>
      </c>
      <c r="C52" s="49" t="s">
        <v>452</v>
      </c>
      <c r="D52" s="78" t="s">
        <v>57</v>
      </c>
      <c r="E52" s="51" t="s">
        <v>72</v>
      </c>
      <c r="F52" s="91" t="s">
        <v>59</v>
      </c>
      <c r="G52" s="91" t="s">
        <v>1739</v>
      </c>
      <c r="H52" s="78" t="s">
        <v>1764</v>
      </c>
    </row>
    <row r="53" spans="1:14" ht="12.75" x14ac:dyDescent="0.2">
      <c r="A53" s="90"/>
      <c r="B53" s="91"/>
      <c r="C53" s="91"/>
      <c r="D53" s="78"/>
      <c r="E53" s="91"/>
      <c r="F53" s="91"/>
      <c r="G53" s="91"/>
      <c r="H53" s="78"/>
    </row>
    <row r="54" spans="1:14" ht="12.75" x14ac:dyDescent="0.2">
      <c r="A54" s="92"/>
      <c r="B54" s="93"/>
      <c r="C54" s="93"/>
      <c r="D54" s="97"/>
      <c r="E54" s="93"/>
      <c r="F54" s="93"/>
      <c r="G54" s="93"/>
      <c r="H54" s="82"/>
    </row>
    <row r="55" spans="1:14" ht="12.75" x14ac:dyDescent="0.2">
      <c r="A55" s="25"/>
      <c r="F55" s="21"/>
    </row>
    <row r="56" spans="1:14" ht="12.75" x14ac:dyDescent="0.2">
      <c r="A56" s="25"/>
      <c r="F56" s="21"/>
    </row>
    <row r="57" spans="1:14" ht="12.75" x14ac:dyDescent="0.2">
      <c r="A57" s="25"/>
      <c r="F57" s="21"/>
    </row>
    <row r="58" spans="1:14" ht="12.75" x14ac:dyDescent="0.2">
      <c r="A58" s="25"/>
      <c r="F58" s="21"/>
    </row>
    <row r="59" spans="1:14" ht="12.75" x14ac:dyDescent="0.2">
      <c r="A59" s="25"/>
      <c r="F59" s="21"/>
    </row>
    <row r="60" spans="1:14" ht="12.75" x14ac:dyDescent="0.2">
      <c r="A60" s="25"/>
      <c r="F60" s="21"/>
    </row>
    <row r="61" spans="1:14" ht="12.75" x14ac:dyDescent="0.2">
      <c r="A61" s="25"/>
      <c r="F61" s="21"/>
    </row>
    <row r="62" spans="1:14" ht="12.75" x14ac:dyDescent="0.2">
      <c r="A62" s="25"/>
      <c r="F62" s="21"/>
    </row>
    <row r="63" spans="1:14" ht="12.75" x14ac:dyDescent="0.2">
      <c r="A63" s="25"/>
      <c r="F63" s="21"/>
    </row>
    <row r="64" spans="1:14" x14ac:dyDescent="0.25">
      <c r="A64" s="25"/>
      <c r="F64" s="21"/>
      <c r="G64" s="26"/>
    </row>
    <row r="65" spans="1:6" ht="12.75" x14ac:dyDescent="0.2">
      <c r="A65" s="25"/>
      <c r="F65" s="21"/>
    </row>
    <row r="66" spans="1:6" ht="12.75" x14ac:dyDescent="0.2">
      <c r="A66" s="25"/>
      <c r="F66" s="21"/>
    </row>
    <row r="67" spans="1:6" x14ac:dyDescent="0.25">
      <c r="A67" s="25"/>
    </row>
    <row r="68" spans="1:6" x14ac:dyDescent="0.25">
      <c r="A68" s="25"/>
    </row>
    <row r="69" spans="1:6" x14ac:dyDescent="0.25">
      <c r="A69" s="25"/>
    </row>
  </sheetData>
  <conditionalFormatting sqref="F4:F11">
    <cfRule type="cellIs" dxfId="2" priority="1" operator="equal">
      <formula>"Urgent"</formula>
    </cfRule>
    <cfRule type="cellIs" dxfId="1" priority="2" operator="equal">
      <formula>"New"</formula>
    </cfRule>
  </conditionalFormatting>
  <dataValidations count="3">
    <dataValidation type="list" allowBlank="1" showInputMessage="1" showErrorMessage="1" sqref="F12:F13" xr:uid="{DBECCD51-B2EC-46B8-B1DF-548299CFEA62}">
      <formula1>"New, In progress / under discussion, Blocked/Paused, Resolved, In dispute"</formula1>
    </dataValidation>
    <dataValidation type="list" allowBlank="1" showInputMessage="1" showErrorMessage="1" sqref="G28:G34 F26:G26 G12:G13 F35 F14:G14" xr:uid="{58076ADC-BF90-41DB-BF0F-55A86E5264D3}">
      <formula1>"New, In progress / under discussion, Blocked, Resolved, In dispute"</formula1>
    </dataValidation>
    <dataValidation type="list" allowBlank="1" showInputMessage="1" showErrorMessage="1" sqref="F4:F11" xr:uid="{564C76D2-FEDD-45DD-A4A5-EEA1070D02DC}">
      <formula1>"New, In progress, Resolved, Blocked/Paused, Closed, In dispute, Closed"</formula1>
    </dataValidation>
  </dataValidations>
  <hyperlinks>
    <hyperlink ref="H1" r:id="rId1" xr:uid="{F6E4F039-F839-4831-AB31-2D1EDE7B7BCE}"/>
  </hyperlinks>
  <pageMargins left="0.7" right="0.7" top="0.75" bottom="0.75" header="0.3" footer="0.3"/>
  <pageSetup paperSize="9" orientation="portrait" verticalDpi="0" r:id="rId2"/>
  <headerFooter>
    <oddHeader>&amp;C&amp;"Calibri"&amp;10&amp;K000000 [PROTECTED_INTERNAL]&amp;1#_x000D_</oddHeader>
  </headerFooter>
  <tableParts count="4"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ED63-C3DF-4596-B575-981092A8D149}">
  <dimension ref="A1:T201"/>
  <sheetViews>
    <sheetView workbookViewId="0"/>
  </sheetViews>
  <sheetFormatPr defaultColWidth="9.140625" defaultRowHeight="12.75" outlineLevelCol="2" x14ac:dyDescent="0.2"/>
  <cols>
    <col min="1" max="1" width="15.140625" style="2" bestFit="1" customWidth="1"/>
    <col min="2" max="2" width="15.7109375" style="2" customWidth="1"/>
    <col min="3" max="3" width="15.85546875" style="2" customWidth="1"/>
    <col min="4" max="4" width="13.42578125" style="2" customWidth="1"/>
    <col min="5" max="5" width="40.42578125" style="2" customWidth="1"/>
    <col min="6" max="6" width="18.5703125" style="2" customWidth="1"/>
    <col min="7" max="7" width="24.140625" style="2" customWidth="1"/>
    <col min="8" max="8" width="20.5703125" style="2" customWidth="1"/>
    <col min="9" max="9" width="14.28515625" style="38" customWidth="1"/>
    <col min="10" max="10" width="21.140625" style="2" customWidth="1"/>
    <col min="11" max="11" width="21.5703125" style="2" hidden="1" customWidth="1" outlineLevel="2"/>
    <col min="12" max="12" width="12.28515625" style="2" hidden="1" customWidth="1" outlineLevel="2"/>
    <col min="13" max="13" width="16.140625" style="2" hidden="1" customWidth="1" outlineLevel="2"/>
    <col min="14" max="14" width="24.28515625" style="2" hidden="1" customWidth="1" outlineLevel="1" collapsed="1"/>
    <col min="15" max="15" width="24.28515625" style="2" hidden="1" customWidth="1" outlineLevel="1"/>
    <col min="16" max="16" width="16.42578125" style="2" hidden="1" customWidth="1" outlineLevel="1"/>
    <col min="17" max="17" width="26.7109375" style="2" customWidth="1" collapsed="1"/>
    <col min="18" max="18" width="9.140625" style="2" customWidth="1"/>
    <col min="19" max="16384" width="9.140625" style="2"/>
  </cols>
  <sheetData>
    <row r="1" spans="1:20" ht="18.75" x14ac:dyDescent="0.3">
      <c r="A1" s="136" t="s">
        <v>125</v>
      </c>
    </row>
    <row r="3" spans="1:20" s="47" customFormat="1" ht="27" customHeight="1" x14ac:dyDescent="0.2">
      <c r="A3" s="102" t="s">
        <v>127</v>
      </c>
      <c r="B3" s="39" t="s">
        <v>128</v>
      </c>
      <c r="C3" s="40" t="s">
        <v>129</v>
      </c>
      <c r="D3" s="41" t="s">
        <v>130</v>
      </c>
      <c r="E3" s="40" t="s">
        <v>131</v>
      </c>
      <c r="F3" s="42" t="s">
        <v>68</v>
      </c>
      <c r="G3" s="42" t="s">
        <v>132</v>
      </c>
      <c r="H3" s="42" t="s">
        <v>115</v>
      </c>
      <c r="I3" s="43" t="s">
        <v>133</v>
      </c>
      <c r="J3" s="45" t="s">
        <v>117</v>
      </c>
      <c r="K3" s="43" t="s">
        <v>134</v>
      </c>
      <c r="L3" s="44" t="s">
        <v>135</v>
      </c>
      <c r="M3" s="44" t="s">
        <v>136</v>
      </c>
      <c r="N3" s="44" t="s">
        <v>137</v>
      </c>
      <c r="O3" s="45" t="s">
        <v>138</v>
      </c>
      <c r="P3" s="45" t="s">
        <v>139</v>
      </c>
      <c r="Q3" s="46" t="s">
        <v>140</v>
      </c>
      <c r="R3" s="146" t="s">
        <v>83</v>
      </c>
      <c r="S3" s="146" t="s">
        <v>141</v>
      </c>
      <c r="T3" s="146" t="s">
        <v>114</v>
      </c>
    </row>
    <row r="4" spans="1:20" s="47" customFormat="1" ht="13.15" hidden="1" customHeight="1" x14ac:dyDescent="0.2">
      <c r="A4" s="104">
        <v>560</v>
      </c>
      <c r="B4" s="130" t="s">
        <v>517</v>
      </c>
      <c r="C4" s="100" t="s">
        <v>518</v>
      </c>
      <c r="D4" s="50">
        <v>44879</v>
      </c>
      <c r="E4" s="132" t="s">
        <v>432</v>
      </c>
      <c r="F4" s="100" t="s">
        <v>70</v>
      </c>
      <c r="G4" s="100"/>
      <c r="H4" s="100" t="s">
        <v>57</v>
      </c>
      <c r="I4" s="100" t="s">
        <v>162</v>
      </c>
      <c r="J4" s="49"/>
      <c r="K4" s="100" t="s">
        <v>57</v>
      </c>
      <c r="L4" s="147"/>
      <c r="M4" s="131"/>
      <c r="N4" s="100" t="s">
        <v>239</v>
      </c>
      <c r="O4" s="100"/>
      <c r="P4" s="131"/>
      <c r="Q4" s="133" t="s">
        <v>519</v>
      </c>
      <c r="R4" s="129">
        <v>45449</v>
      </c>
    </row>
    <row r="5" spans="1:20" s="47" customFormat="1" ht="12" hidden="1" x14ac:dyDescent="0.2">
      <c r="A5" s="104">
        <v>462</v>
      </c>
      <c r="B5" s="130" t="s">
        <v>431</v>
      </c>
      <c r="C5" s="100" t="s">
        <v>180</v>
      </c>
      <c r="D5" s="50">
        <v>44515</v>
      </c>
      <c r="E5" s="132" t="s">
        <v>432</v>
      </c>
      <c r="F5" s="100" t="s">
        <v>70</v>
      </c>
      <c r="G5" s="100"/>
      <c r="H5" s="100" t="s">
        <v>57</v>
      </c>
      <c r="I5" s="100" t="s">
        <v>231</v>
      </c>
      <c r="J5" s="49"/>
      <c r="K5" s="100" t="s">
        <v>57</v>
      </c>
      <c r="L5" s="147"/>
      <c r="M5" s="131"/>
      <c r="N5" s="100" t="s">
        <v>72</v>
      </c>
      <c r="O5" s="100"/>
      <c r="P5" s="131"/>
      <c r="Q5" s="133"/>
      <c r="R5" s="134">
        <v>45457</v>
      </c>
    </row>
    <row r="6" spans="1:20" s="47" customFormat="1" ht="12" hidden="1" x14ac:dyDescent="0.2">
      <c r="A6" s="104">
        <v>634</v>
      </c>
      <c r="B6" s="130" t="s">
        <v>603</v>
      </c>
      <c r="C6" s="100" t="s">
        <v>604</v>
      </c>
      <c r="D6" s="50">
        <v>45169</v>
      </c>
      <c r="E6" s="132" t="s">
        <v>605</v>
      </c>
      <c r="F6" s="100" t="s">
        <v>70</v>
      </c>
      <c r="G6" s="100"/>
      <c r="H6" s="100" t="s">
        <v>46</v>
      </c>
      <c r="I6" s="100" t="s">
        <v>1654</v>
      </c>
      <c r="J6" s="49"/>
      <c r="K6" s="100" t="s">
        <v>46</v>
      </c>
      <c r="L6" s="147"/>
      <c r="M6" s="131"/>
      <c r="N6" s="100" t="s">
        <v>284</v>
      </c>
      <c r="O6" s="100"/>
      <c r="P6" s="131"/>
      <c r="Q6" s="133"/>
      <c r="R6" s="134">
        <v>45470</v>
      </c>
    </row>
    <row r="7" spans="1:20" s="47" customFormat="1" ht="12" hidden="1" x14ac:dyDescent="0.2">
      <c r="A7" s="104">
        <v>664</v>
      </c>
      <c r="B7" s="130" t="s">
        <v>615</v>
      </c>
      <c r="C7" s="100" t="s">
        <v>616</v>
      </c>
      <c r="D7" s="50">
        <v>45200</v>
      </c>
      <c r="E7" s="132" t="s">
        <v>464</v>
      </c>
      <c r="F7" s="100" t="s">
        <v>70</v>
      </c>
      <c r="G7" s="100"/>
      <c r="H7" s="100" t="s">
        <v>57</v>
      </c>
      <c r="I7" s="100" t="s">
        <v>238</v>
      </c>
      <c r="J7" s="49"/>
      <c r="K7" s="100" t="s">
        <v>57</v>
      </c>
      <c r="L7" s="147"/>
      <c r="M7" s="131"/>
      <c r="N7" s="100" t="s">
        <v>617</v>
      </c>
      <c r="O7" s="100"/>
      <c r="P7" s="131"/>
      <c r="Q7" s="133"/>
      <c r="R7" s="135">
        <v>45478</v>
      </c>
    </row>
    <row r="8" spans="1:20" s="47" customFormat="1" ht="12" hidden="1" x14ac:dyDescent="0.2">
      <c r="A8" s="104">
        <v>682</v>
      </c>
      <c r="B8" s="130" t="s">
        <v>547</v>
      </c>
      <c r="C8" s="100" t="s">
        <v>666</v>
      </c>
      <c r="D8" s="50">
        <v>45404</v>
      </c>
      <c r="E8" s="132" t="s">
        <v>169</v>
      </c>
      <c r="F8" s="100" t="s">
        <v>73</v>
      </c>
      <c r="G8" s="100" t="s">
        <v>120</v>
      </c>
      <c r="H8" s="100" t="s">
        <v>61</v>
      </c>
      <c r="I8" s="100" t="s">
        <v>667</v>
      </c>
      <c r="J8" s="49"/>
      <c r="K8" s="100" t="s">
        <v>61</v>
      </c>
      <c r="L8" s="147"/>
      <c r="M8" s="131"/>
      <c r="N8" s="100" t="s">
        <v>668</v>
      </c>
      <c r="O8" s="100" t="s">
        <v>249</v>
      </c>
      <c r="P8" s="131"/>
      <c r="Q8" s="133"/>
      <c r="R8" s="135">
        <v>45485</v>
      </c>
    </row>
    <row r="9" spans="1:20" s="47" customFormat="1" ht="12" hidden="1" x14ac:dyDescent="0.2">
      <c r="A9" s="104">
        <v>535</v>
      </c>
      <c r="B9" s="130" t="s">
        <v>485</v>
      </c>
      <c r="C9" s="100" t="s">
        <v>225</v>
      </c>
      <c r="D9" s="50">
        <v>44795</v>
      </c>
      <c r="E9" s="132" t="s">
        <v>486</v>
      </c>
      <c r="F9" s="100" t="s">
        <v>70</v>
      </c>
      <c r="G9" s="100" t="s">
        <v>227</v>
      </c>
      <c r="H9" s="100" t="s">
        <v>223</v>
      </c>
      <c r="I9" s="100" t="s">
        <v>221</v>
      </c>
      <c r="J9" s="49"/>
      <c r="K9" s="100" t="s">
        <v>223</v>
      </c>
      <c r="L9" s="147"/>
      <c r="M9" s="131"/>
      <c r="N9" s="100" t="s">
        <v>227</v>
      </c>
      <c r="O9" s="100"/>
      <c r="P9" s="131"/>
      <c r="Q9" s="133"/>
      <c r="R9" s="135">
        <v>45496</v>
      </c>
    </row>
    <row r="10" spans="1:20" s="47" customFormat="1" ht="12" hidden="1" x14ac:dyDescent="0.2">
      <c r="A10" s="104">
        <v>663</v>
      </c>
      <c r="B10" s="130" t="s">
        <v>562</v>
      </c>
      <c r="C10" s="100" t="s">
        <v>563</v>
      </c>
      <c r="D10" s="50">
        <v>44968</v>
      </c>
      <c r="E10" s="132" t="s">
        <v>464</v>
      </c>
      <c r="F10" s="100" t="s">
        <v>70</v>
      </c>
      <c r="G10" s="100" t="s">
        <v>347</v>
      </c>
      <c r="H10" s="100" t="s">
        <v>57</v>
      </c>
      <c r="I10" s="100" t="s">
        <v>238</v>
      </c>
      <c r="J10" s="49"/>
      <c r="K10" s="100" t="s">
        <v>57</v>
      </c>
      <c r="L10" s="147"/>
      <c r="M10" s="131"/>
      <c r="N10" s="100" t="s">
        <v>72</v>
      </c>
      <c r="O10" s="100"/>
      <c r="P10" s="131"/>
      <c r="Q10" s="133" t="s">
        <v>564</v>
      </c>
      <c r="R10" s="135">
        <v>45513</v>
      </c>
    </row>
    <row r="11" spans="1:20" s="47" customFormat="1" ht="12" hidden="1" x14ac:dyDescent="0.2">
      <c r="A11" s="104">
        <v>457</v>
      </c>
      <c r="B11" s="48" t="s">
        <v>350</v>
      </c>
      <c r="C11" s="49" t="s">
        <v>351</v>
      </c>
      <c r="D11" s="50">
        <v>44207</v>
      </c>
      <c r="E11" s="51" t="s">
        <v>352</v>
      </c>
      <c r="F11" s="49" t="s">
        <v>70</v>
      </c>
      <c r="G11" s="49" t="s">
        <v>227</v>
      </c>
      <c r="H11" s="49" t="s">
        <v>223</v>
      </c>
      <c r="I11" s="49" t="s">
        <v>353</v>
      </c>
      <c r="J11" s="49"/>
      <c r="K11" s="49" t="s">
        <v>223</v>
      </c>
      <c r="L11" s="49"/>
      <c r="M11" s="50"/>
      <c r="N11" s="49"/>
      <c r="O11" s="49"/>
      <c r="P11" s="50"/>
      <c r="Q11" s="52"/>
      <c r="R11" s="139">
        <v>45546</v>
      </c>
    </row>
    <row r="12" spans="1:20" s="47" customFormat="1" ht="12" hidden="1" x14ac:dyDescent="0.2">
      <c r="A12" s="104">
        <v>362</v>
      </c>
      <c r="B12" s="48" t="s">
        <v>344</v>
      </c>
      <c r="C12" s="49" t="s">
        <v>345</v>
      </c>
      <c r="D12" s="88">
        <v>44075</v>
      </c>
      <c r="E12" s="51" t="s">
        <v>346</v>
      </c>
      <c r="F12" s="49" t="s">
        <v>70</v>
      </c>
      <c r="G12" s="49" t="s">
        <v>347</v>
      </c>
      <c r="H12" s="49" t="s">
        <v>59</v>
      </c>
      <c r="I12" s="49" t="s">
        <v>194</v>
      </c>
      <c r="J12" s="49"/>
      <c r="K12" s="49" t="s">
        <v>59</v>
      </c>
      <c r="L12" s="49"/>
      <c r="M12" s="50"/>
      <c r="N12" s="49"/>
      <c r="O12" s="49"/>
      <c r="P12" s="50"/>
      <c r="Q12" s="52" t="s">
        <v>348</v>
      </c>
      <c r="R12" s="138">
        <v>45555</v>
      </c>
      <c r="T12" s="47" t="s">
        <v>349</v>
      </c>
    </row>
    <row r="13" spans="1:20" s="47" customFormat="1" ht="12" hidden="1" x14ac:dyDescent="0.2">
      <c r="A13" s="104">
        <v>367</v>
      </c>
      <c r="B13" s="48" t="s">
        <v>339</v>
      </c>
      <c r="C13" s="49" t="s">
        <v>340</v>
      </c>
      <c r="D13" s="50">
        <v>44075</v>
      </c>
      <c r="E13" s="51" t="s">
        <v>341</v>
      </c>
      <c r="F13" s="49" t="s">
        <v>73</v>
      </c>
      <c r="G13" s="49" t="s">
        <v>342</v>
      </c>
      <c r="H13" s="49" t="s">
        <v>61</v>
      </c>
      <c r="I13" s="49" t="s">
        <v>174</v>
      </c>
      <c r="J13" s="49"/>
      <c r="K13" s="49" t="s">
        <v>61</v>
      </c>
      <c r="L13" s="49"/>
      <c r="M13" s="50"/>
      <c r="N13" s="49"/>
      <c r="O13" s="49" t="s">
        <v>343</v>
      </c>
      <c r="P13" s="50"/>
      <c r="Q13" s="52"/>
      <c r="R13" s="138">
        <v>45558</v>
      </c>
    </row>
    <row r="14" spans="1:20" s="47" customFormat="1" ht="12" hidden="1" x14ac:dyDescent="0.2">
      <c r="A14" s="104">
        <v>593</v>
      </c>
      <c r="B14" s="48" t="s">
        <v>569</v>
      </c>
      <c r="C14" s="49" t="s">
        <v>570</v>
      </c>
      <c r="D14" s="50">
        <v>44971</v>
      </c>
      <c r="E14" s="51" t="s">
        <v>571</v>
      </c>
      <c r="F14" s="49" t="s">
        <v>70</v>
      </c>
      <c r="G14" s="49" t="s">
        <v>55</v>
      </c>
      <c r="H14" s="49" t="s">
        <v>55</v>
      </c>
      <c r="I14" s="49" t="s">
        <v>329</v>
      </c>
      <c r="J14" s="49"/>
      <c r="K14" s="49" t="s">
        <v>55</v>
      </c>
      <c r="L14" s="49"/>
      <c r="M14" s="50"/>
      <c r="N14" s="49"/>
      <c r="O14" s="49"/>
      <c r="P14" s="50"/>
      <c r="Q14" s="52" t="s">
        <v>572</v>
      </c>
      <c r="R14" s="139">
        <v>45562</v>
      </c>
      <c r="S14" s="36"/>
    </row>
    <row r="15" spans="1:20" s="47" customFormat="1" ht="12" hidden="1" x14ac:dyDescent="0.2">
      <c r="A15" s="104">
        <v>133</v>
      </c>
      <c r="B15" s="48" t="s">
        <v>183</v>
      </c>
      <c r="C15" s="49" t="s">
        <v>184</v>
      </c>
      <c r="D15" s="50">
        <v>39958</v>
      </c>
      <c r="E15" s="51" t="s">
        <v>185</v>
      </c>
      <c r="F15" s="49" t="s">
        <v>70</v>
      </c>
      <c r="G15" s="49" t="s">
        <v>186</v>
      </c>
      <c r="H15" s="49" t="s">
        <v>46</v>
      </c>
      <c r="I15" s="49" t="s">
        <v>187</v>
      </c>
      <c r="J15" s="49"/>
      <c r="K15" s="49" t="s">
        <v>46</v>
      </c>
      <c r="L15" s="49"/>
      <c r="M15" s="50"/>
      <c r="N15" s="49"/>
      <c r="O15" s="49"/>
      <c r="P15" s="50"/>
      <c r="Q15" s="52"/>
      <c r="R15" s="138">
        <v>45576</v>
      </c>
    </row>
    <row r="16" spans="1:20" s="47" customFormat="1" ht="12" hidden="1" x14ac:dyDescent="0.2">
      <c r="A16" s="104">
        <v>543</v>
      </c>
      <c r="B16" s="48" t="s">
        <v>487</v>
      </c>
      <c r="C16" s="49" t="s">
        <v>488</v>
      </c>
      <c r="D16" s="50">
        <v>44816</v>
      </c>
      <c r="E16" s="51" t="s">
        <v>489</v>
      </c>
      <c r="F16" s="49" t="s">
        <v>72</v>
      </c>
      <c r="G16" s="49" t="s">
        <v>347</v>
      </c>
      <c r="H16" s="49" t="s">
        <v>57</v>
      </c>
      <c r="I16" s="49" t="s">
        <v>490</v>
      </c>
      <c r="J16" s="49"/>
      <c r="K16" s="49" t="s">
        <v>57</v>
      </c>
      <c r="L16" s="49"/>
      <c r="M16" s="50"/>
      <c r="N16" s="49"/>
      <c r="O16" s="49"/>
      <c r="P16" s="50"/>
      <c r="Q16" s="52"/>
      <c r="R16" s="138">
        <v>45576</v>
      </c>
    </row>
    <row r="17" spans="1:20" s="47" customFormat="1" ht="12" hidden="1" x14ac:dyDescent="0.2">
      <c r="A17" s="104">
        <v>709</v>
      </c>
      <c r="B17" s="48" t="s">
        <v>723</v>
      </c>
      <c r="C17" s="49" t="s">
        <v>560</v>
      </c>
      <c r="D17" s="50">
        <v>45546</v>
      </c>
      <c r="E17" s="51" t="s">
        <v>724</v>
      </c>
      <c r="F17" s="49" t="s">
        <v>70</v>
      </c>
      <c r="G17" s="49" t="s">
        <v>106</v>
      </c>
      <c r="H17" s="49" t="s">
        <v>46</v>
      </c>
      <c r="I17" s="49" t="s">
        <v>1654</v>
      </c>
      <c r="J17" s="49"/>
      <c r="K17" s="49"/>
      <c r="L17" s="49"/>
      <c r="M17" s="50"/>
      <c r="N17" s="49"/>
      <c r="O17" s="49"/>
      <c r="P17" s="50"/>
      <c r="Q17" s="52" t="s">
        <v>725</v>
      </c>
      <c r="R17" s="138">
        <v>45576</v>
      </c>
    </row>
    <row r="18" spans="1:20" s="47" customFormat="1" ht="12" hidden="1" x14ac:dyDescent="0.2">
      <c r="A18" s="104">
        <v>701</v>
      </c>
      <c r="B18" s="48" t="s">
        <v>706</v>
      </c>
      <c r="C18" s="49" t="s">
        <v>707</v>
      </c>
      <c r="D18" s="50">
        <v>45509</v>
      </c>
      <c r="E18" s="51" t="s">
        <v>708</v>
      </c>
      <c r="F18" s="49" t="s">
        <v>70</v>
      </c>
      <c r="G18" s="49" t="s">
        <v>292</v>
      </c>
      <c r="H18" s="49" t="s">
        <v>46</v>
      </c>
      <c r="I18" s="49" t="s">
        <v>293</v>
      </c>
      <c r="J18" s="49"/>
      <c r="K18" s="49"/>
      <c r="L18" s="49"/>
      <c r="M18" s="50"/>
      <c r="N18" s="49"/>
      <c r="O18" s="49"/>
      <c r="P18" s="50"/>
      <c r="Q18" s="52" t="s">
        <v>709</v>
      </c>
      <c r="R18" s="138">
        <v>45588</v>
      </c>
    </row>
    <row r="19" spans="1:20" s="47" customFormat="1" ht="12" hidden="1" x14ac:dyDescent="0.2">
      <c r="A19" s="104">
        <v>548</v>
      </c>
      <c r="B19" s="48" t="s">
        <v>448</v>
      </c>
      <c r="C19" s="49" t="s">
        <v>449</v>
      </c>
      <c r="D19" s="50">
        <v>44630</v>
      </c>
      <c r="E19" s="51" t="s">
        <v>173</v>
      </c>
      <c r="F19" s="49" t="s">
        <v>70</v>
      </c>
      <c r="G19" s="49" t="s">
        <v>347</v>
      </c>
      <c r="H19" s="49" t="s">
        <v>57</v>
      </c>
      <c r="I19" s="59" t="s">
        <v>423</v>
      </c>
      <c r="J19" s="49" t="s">
        <v>72</v>
      </c>
      <c r="K19" s="49" t="s">
        <v>57</v>
      </c>
      <c r="L19" s="49"/>
      <c r="M19" s="50"/>
      <c r="N19" s="49"/>
      <c r="O19" s="49"/>
      <c r="P19" s="50"/>
      <c r="Q19" s="52" t="s">
        <v>450</v>
      </c>
      <c r="R19" s="138">
        <v>45618</v>
      </c>
      <c r="S19" s="47" t="s">
        <v>149</v>
      </c>
    </row>
    <row r="20" spans="1:20" s="47" customFormat="1" ht="12" hidden="1" x14ac:dyDescent="0.2">
      <c r="A20" s="104">
        <v>668</v>
      </c>
      <c r="B20" s="48" t="s">
        <v>635</v>
      </c>
      <c r="C20" s="49" t="s">
        <v>636</v>
      </c>
      <c r="D20" s="50">
        <v>45279</v>
      </c>
      <c r="E20" s="51" t="s">
        <v>637</v>
      </c>
      <c r="F20" s="49" t="s">
        <v>70</v>
      </c>
      <c r="G20" s="49" t="s">
        <v>106</v>
      </c>
      <c r="H20" s="49" t="s">
        <v>46</v>
      </c>
      <c r="I20" s="49" t="s">
        <v>1654</v>
      </c>
      <c r="J20" s="49" t="s">
        <v>284</v>
      </c>
      <c r="K20" s="49" t="s">
        <v>46</v>
      </c>
      <c r="L20" s="49"/>
      <c r="M20" s="50"/>
      <c r="N20" s="49"/>
      <c r="O20" s="49"/>
      <c r="P20" s="50"/>
      <c r="Q20" s="52" t="s">
        <v>638</v>
      </c>
      <c r="R20" s="138">
        <v>45646</v>
      </c>
      <c r="S20" s="47" t="s">
        <v>213</v>
      </c>
      <c r="T20" s="47" t="s">
        <v>349</v>
      </c>
    </row>
    <row r="21" spans="1:20" s="47" customFormat="1" ht="12" hidden="1" x14ac:dyDescent="0.2">
      <c r="A21" s="104">
        <v>516</v>
      </c>
      <c r="B21" s="48" t="s">
        <v>474</v>
      </c>
      <c r="C21" s="49" t="s">
        <v>475</v>
      </c>
      <c r="D21" s="50">
        <v>44732</v>
      </c>
      <c r="E21" s="51" t="s">
        <v>476</v>
      </c>
      <c r="F21" s="49" t="s">
        <v>70</v>
      </c>
      <c r="G21" s="49" t="s">
        <v>119</v>
      </c>
      <c r="H21" s="49" t="s">
        <v>59</v>
      </c>
      <c r="I21" s="49" t="s">
        <v>194</v>
      </c>
      <c r="J21" s="49" t="s">
        <v>297</v>
      </c>
      <c r="K21" s="49" t="s">
        <v>59</v>
      </c>
      <c r="L21" s="49"/>
      <c r="M21" s="50"/>
      <c r="N21" s="49"/>
      <c r="O21" s="49"/>
      <c r="P21" s="50"/>
      <c r="Q21" s="52" t="s">
        <v>477</v>
      </c>
      <c r="R21" s="138">
        <v>45646</v>
      </c>
      <c r="S21" s="47" t="s">
        <v>149</v>
      </c>
    </row>
    <row r="22" spans="1:20" s="47" customFormat="1" ht="12" x14ac:dyDescent="0.2">
      <c r="A22" s="104">
        <v>21</v>
      </c>
      <c r="B22" s="48" t="s">
        <v>144</v>
      </c>
      <c r="C22" s="49" t="s">
        <v>145</v>
      </c>
      <c r="D22" s="50">
        <v>35338</v>
      </c>
      <c r="E22" s="51" t="s">
        <v>146</v>
      </c>
      <c r="F22" s="49" t="s">
        <v>70</v>
      </c>
      <c r="G22" s="49" t="s">
        <v>1765</v>
      </c>
      <c r="H22" s="49" t="s">
        <v>57</v>
      </c>
      <c r="I22" s="49" t="s">
        <v>490</v>
      </c>
      <c r="J22" s="49" t="s">
        <v>148</v>
      </c>
      <c r="K22" s="49" t="s">
        <v>57</v>
      </c>
      <c r="L22" s="49"/>
      <c r="M22" s="50"/>
      <c r="N22" s="49"/>
      <c r="O22" s="49"/>
      <c r="P22" s="50"/>
      <c r="Q22" s="52"/>
      <c r="R22" s="36"/>
      <c r="S22" s="47" t="s">
        <v>149</v>
      </c>
    </row>
    <row r="23" spans="1:20" s="47" customFormat="1" ht="12" x14ac:dyDescent="0.2">
      <c r="A23" s="104">
        <v>60</v>
      </c>
      <c r="B23" s="48" t="s">
        <v>151</v>
      </c>
      <c r="C23" s="49" t="s">
        <v>152</v>
      </c>
      <c r="D23" s="50">
        <v>36787</v>
      </c>
      <c r="E23" s="51" t="s">
        <v>153</v>
      </c>
      <c r="F23" s="49" t="s">
        <v>70</v>
      </c>
      <c r="G23" s="49" t="s">
        <v>121</v>
      </c>
      <c r="H23" s="49" t="s">
        <v>60</v>
      </c>
      <c r="I23" s="49" t="s">
        <v>147</v>
      </c>
      <c r="J23" s="49" t="s">
        <v>60</v>
      </c>
      <c r="K23" s="49" t="s">
        <v>60</v>
      </c>
      <c r="L23" s="49"/>
      <c r="M23" s="50"/>
      <c r="N23" s="49"/>
      <c r="O23" s="49"/>
      <c r="P23" s="50"/>
      <c r="Q23" s="52"/>
      <c r="R23" s="36"/>
      <c r="S23" s="47" t="s">
        <v>149</v>
      </c>
    </row>
    <row r="24" spans="1:20" s="47" customFormat="1" ht="12" x14ac:dyDescent="0.2">
      <c r="A24" s="104">
        <v>63</v>
      </c>
      <c r="B24" s="48" t="s">
        <v>154</v>
      </c>
      <c r="C24" s="49" t="s">
        <v>155</v>
      </c>
      <c r="D24" s="50">
        <v>36823</v>
      </c>
      <c r="E24" s="51" t="s">
        <v>156</v>
      </c>
      <c r="F24" s="49" t="s">
        <v>70</v>
      </c>
      <c r="G24" s="49" t="s">
        <v>1766</v>
      </c>
      <c r="H24" s="49" t="s">
        <v>46</v>
      </c>
      <c r="I24" s="49" t="s">
        <v>157</v>
      </c>
      <c r="J24" s="49" t="s">
        <v>158</v>
      </c>
      <c r="K24" s="49" t="s">
        <v>46</v>
      </c>
      <c r="L24" s="49"/>
      <c r="M24" s="50"/>
      <c r="N24" s="49"/>
      <c r="O24" s="49"/>
      <c r="P24" s="50"/>
      <c r="Q24" s="52"/>
      <c r="R24" s="36"/>
      <c r="S24" s="47" t="s">
        <v>149</v>
      </c>
    </row>
    <row r="25" spans="1:20" s="47" customFormat="1" ht="12" x14ac:dyDescent="0.2">
      <c r="A25" s="104">
        <v>65</v>
      </c>
      <c r="B25" s="48" t="s">
        <v>159</v>
      </c>
      <c r="C25" s="49" t="s">
        <v>160</v>
      </c>
      <c r="D25" s="50">
        <v>36842</v>
      </c>
      <c r="E25" s="51" t="s">
        <v>161</v>
      </c>
      <c r="F25" s="49" t="s">
        <v>70</v>
      </c>
      <c r="G25" s="49" t="s">
        <v>120</v>
      </c>
      <c r="H25" s="49" t="s">
        <v>57</v>
      </c>
      <c r="I25" s="49" t="s">
        <v>162</v>
      </c>
      <c r="J25" s="49" t="s">
        <v>239</v>
      </c>
      <c r="K25" s="49" t="s">
        <v>57</v>
      </c>
      <c r="L25" s="49"/>
      <c r="M25" s="50"/>
      <c r="N25" s="49"/>
      <c r="O25" s="49"/>
      <c r="P25" s="50"/>
      <c r="Q25" s="52"/>
      <c r="R25" s="36"/>
      <c r="S25" s="47" t="s">
        <v>149</v>
      </c>
    </row>
    <row r="26" spans="1:20" s="47" customFormat="1" ht="12" x14ac:dyDescent="0.2">
      <c r="A26" s="104">
        <v>87</v>
      </c>
      <c r="B26" s="48" t="s">
        <v>164</v>
      </c>
      <c r="C26" s="49" t="s">
        <v>165</v>
      </c>
      <c r="D26" s="50">
        <v>38202</v>
      </c>
      <c r="E26" s="51" t="s">
        <v>166</v>
      </c>
      <c r="F26" s="49" t="s">
        <v>70</v>
      </c>
      <c r="G26" s="49" t="s">
        <v>121</v>
      </c>
      <c r="H26" s="49" t="s">
        <v>60</v>
      </c>
      <c r="I26" s="49" t="s">
        <v>147</v>
      </c>
      <c r="J26" s="49" t="s">
        <v>60</v>
      </c>
      <c r="K26" s="49" t="s">
        <v>60</v>
      </c>
      <c r="L26" s="49"/>
      <c r="M26" s="50"/>
      <c r="N26" s="49"/>
      <c r="O26" s="49"/>
      <c r="P26" s="50"/>
      <c r="Q26" s="52"/>
      <c r="R26" s="36"/>
      <c r="S26" s="47" t="s">
        <v>149</v>
      </c>
    </row>
    <row r="27" spans="1:20" s="47" customFormat="1" ht="12" x14ac:dyDescent="0.2">
      <c r="A27" s="104">
        <v>98</v>
      </c>
      <c r="B27" s="48" t="s">
        <v>167</v>
      </c>
      <c r="C27" s="49" t="s">
        <v>168</v>
      </c>
      <c r="D27" s="50">
        <v>38495</v>
      </c>
      <c r="E27" s="51" t="s">
        <v>169</v>
      </c>
      <c r="F27" s="49" t="s">
        <v>70</v>
      </c>
      <c r="G27" s="49" t="s">
        <v>322</v>
      </c>
      <c r="H27" s="49" t="s">
        <v>46</v>
      </c>
      <c r="I27" s="49" t="s">
        <v>407</v>
      </c>
      <c r="J27" s="49" t="s">
        <v>158</v>
      </c>
      <c r="K27" s="49" t="s">
        <v>46</v>
      </c>
      <c r="L27" s="49"/>
      <c r="M27" s="50"/>
      <c r="N27" s="49"/>
      <c r="O27" s="49"/>
      <c r="P27" s="50"/>
      <c r="Q27" s="52"/>
      <c r="R27" s="36"/>
      <c r="S27" s="47" t="s">
        <v>149</v>
      </c>
    </row>
    <row r="28" spans="1:20" s="47" customFormat="1" ht="12" customHeight="1" x14ac:dyDescent="0.2">
      <c r="A28" s="104">
        <v>101</v>
      </c>
      <c r="B28" s="48" t="s">
        <v>171</v>
      </c>
      <c r="C28" s="49" t="s">
        <v>172</v>
      </c>
      <c r="D28" s="50">
        <v>38551</v>
      </c>
      <c r="E28" s="51" t="s">
        <v>173</v>
      </c>
      <c r="F28" s="49" t="s">
        <v>70</v>
      </c>
      <c r="G28" s="49" t="s">
        <v>347</v>
      </c>
      <c r="H28" s="49" t="s">
        <v>61</v>
      </c>
      <c r="I28" s="49" t="s">
        <v>174</v>
      </c>
      <c r="J28" s="49" t="s">
        <v>175</v>
      </c>
      <c r="K28" s="49" t="s">
        <v>61</v>
      </c>
      <c r="L28" s="49"/>
      <c r="M28" s="50"/>
      <c r="N28" s="49"/>
      <c r="O28" s="49"/>
      <c r="P28" s="50"/>
      <c r="Q28" s="52"/>
      <c r="R28" s="36"/>
      <c r="S28" s="47" t="s">
        <v>149</v>
      </c>
    </row>
    <row r="29" spans="1:20" s="47" customFormat="1" ht="12" x14ac:dyDescent="0.2">
      <c r="A29" s="104">
        <v>117</v>
      </c>
      <c r="B29" s="48" t="s">
        <v>176</v>
      </c>
      <c r="C29" s="49" t="s">
        <v>177</v>
      </c>
      <c r="D29" s="50">
        <v>39475</v>
      </c>
      <c r="E29" s="51" t="s">
        <v>178</v>
      </c>
      <c r="F29" s="49" t="s">
        <v>70</v>
      </c>
      <c r="G29" s="49" t="s">
        <v>121</v>
      </c>
      <c r="H29" s="49" t="s">
        <v>60</v>
      </c>
      <c r="I29" s="49" t="s">
        <v>147</v>
      </c>
      <c r="J29" s="49" t="s">
        <v>60</v>
      </c>
      <c r="K29" s="49" t="s">
        <v>60</v>
      </c>
      <c r="L29" s="49"/>
      <c r="M29" s="50"/>
      <c r="N29" s="49"/>
      <c r="O29" s="49"/>
      <c r="P29" s="50"/>
      <c r="Q29" s="52"/>
      <c r="R29" s="36"/>
      <c r="S29" s="47" t="s">
        <v>149</v>
      </c>
    </row>
    <row r="30" spans="1:20" s="47" customFormat="1" ht="12" x14ac:dyDescent="0.2">
      <c r="A30" s="104">
        <v>115</v>
      </c>
      <c r="B30" s="48" t="s">
        <v>179</v>
      </c>
      <c r="C30" s="49" t="s">
        <v>180</v>
      </c>
      <c r="D30" s="50">
        <v>39630</v>
      </c>
      <c r="E30" s="51" t="s">
        <v>181</v>
      </c>
      <c r="F30" s="49" t="s">
        <v>70</v>
      </c>
      <c r="G30" s="49" t="s">
        <v>120</v>
      </c>
      <c r="H30" s="49" t="s">
        <v>59</v>
      </c>
      <c r="I30" s="49" t="s">
        <v>309</v>
      </c>
      <c r="J30" s="49" t="s">
        <v>297</v>
      </c>
      <c r="K30" s="49" t="s">
        <v>59</v>
      </c>
      <c r="L30" s="49"/>
      <c r="M30" s="50"/>
      <c r="N30" s="49"/>
      <c r="O30" s="49"/>
      <c r="P30" s="50"/>
      <c r="Q30" s="52"/>
      <c r="R30" s="36"/>
      <c r="S30" s="47" t="s">
        <v>149</v>
      </c>
    </row>
    <row r="31" spans="1:20" s="47" customFormat="1" ht="12" x14ac:dyDescent="0.2">
      <c r="A31" s="104">
        <v>138</v>
      </c>
      <c r="B31" s="48" t="s">
        <v>188</v>
      </c>
      <c r="C31" s="49" t="s">
        <v>189</v>
      </c>
      <c r="D31" s="50">
        <v>40067</v>
      </c>
      <c r="E31" s="51" t="s">
        <v>237</v>
      </c>
      <c r="F31" s="49" t="s">
        <v>70</v>
      </c>
      <c r="G31" s="49" t="s">
        <v>296</v>
      </c>
      <c r="H31" s="49" t="s">
        <v>57</v>
      </c>
      <c r="I31" s="49" t="s">
        <v>490</v>
      </c>
      <c r="J31" s="49" t="s">
        <v>72</v>
      </c>
      <c r="K31" s="49" t="s">
        <v>57</v>
      </c>
      <c r="L31" s="49"/>
      <c r="M31" s="50"/>
      <c r="N31" s="49"/>
      <c r="O31" s="49"/>
      <c r="P31" s="50"/>
      <c r="Q31" s="52"/>
      <c r="R31" s="36"/>
      <c r="S31" s="47" t="s">
        <v>149</v>
      </c>
    </row>
    <row r="32" spans="1:20" s="47" customFormat="1" ht="12" x14ac:dyDescent="0.2">
      <c r="A32" s="104">
        <v>154</v>
      </c>
      <c r="B32" s="48" t="s">
        <v>191</v>
      </c>
      <c r="C32" s="49" t="s">
        <v>192</v>
      </c>
      <c r="D32" s="50">
        <v>40959</v>
      </c>
      <c r="E32" s="51" t="s">
        <v>193</v>
      </c>
      <c r="F32" s="49" t="s">
        <v>70</v>
      </c>
      <c r="G32" s="49" t="s">
        <v>1767</v>
      </c>
      <c r="H32" s="49" t="s">
        <v>61</v>
      </c>
      <c r="I32" s="49" t="s">
        <v>1691</v>
      </c>
      <c r="J32" s="49" t="s">
        <v>175</v>
      </c>
      <c r="K32" s="49" t="s">
        <v>61</v>
      </c>
      <c r="L32" s="49"/>
      <c r="M32" s="50"/>
      <c r="N32" s="49"/>
      <c r="O32" s="49"/>
      <c r="P32" s="50"/>
      <c r="Q32" s="52"/>
      <c r="R32" s="36"/>
      <c r="S32" s="47" t="s">
        <v>149</v>
      </c>
    </row>
    <row r="33" spans="1:19" s="47" customFormat="1" ht="12" x14ac:dyDescent="0.2">
      <c r="A33" s="104">
        <v>153</v>
      </c>
      <c r="B33" s="48" t="s">
        <v>196</v>
      </c>
      <c r="C33" s="49" t="s">
        <v>197</v>
      </c>
      <c r="D33" s="50">
        <v>41120</v>
      </c>
      <c r="E33" s="51" t="s">
        <v>1619</v>
      </c>
      <c r="F33" s="49" t="s">
        <v>70</v>
      </c>
      <c r="G33" s="49" t="s">
        <v>121</v>
      </c>
      <c r="H33" s="49" t="s">
        <v>60</v>
      </c>
      <c r="I33" s="49" t="s">
        <v>147</v>
      </c>
      <c r="J33" s="49" t="s">
        <v>60</v>
      </c>
      <c r="K33" s="49" t="s">
        <v>60</v>
      </c>
      <c r="L33" s="49"/>
      <c r="M33" s="50"/>
      <c r="N33" s="49"/>
      <c r="O33" s="49"/>
      <c r="P33" s="50"/>
      <c r="Q33" s="52"/>
      <c r="R33" s="36"/>
      <c r="S33" s="47" t="s">
        <v>149</v>
      </c>
    </row>
    <row r="34" spans="1:19" s="47" customFormat="1" ht="12" x14ac:dyDescent="0.2">
      <c r="A34" s="104">
        <v>142</v>
      </c>
      <c r="B34" s="48" t="s">
        <v>199</v>
      </c>
      <c r="C34" s="49" t="s">
        <v>200</v>
      </c>
      <c r="D34" s="50">
        <v>41171</v>
      </c>
      <c r="E34" s="51" t="s">
        <v>201</v>
      </c>
      <c r="F34" s="49" t="s">
        <v>70</v>
      </c>
      <c r="G34" s="49" t="s">
        <v>1768</v>
      </c>
      <c r="H34" s="49" t="s">
        <v>46</v>
      </c>
      <c r="I34" s="49" t="s">
        <v>187</v>
      </c>
      <c r="J34" s="49" t="s">
        <v>294</v>
      </c>
      <c r="K34" s="49" t="s">
        <v>46</v>
      </c>
      <c r="L34" s="49"/>
      <c r="M34" s="50"/>
      <c r="N34" s="49"/>
      <c r="O34" s="49"/>
      <c r="P34" s="50"/>
      <c r="Q34" s="52"/>
      <c r="R34" s="36"/>
      <c r="S34" s="47" t="s">
        <v>149</v>
      </c>
    </row>
    <row r="35" spans="1:19" s="47" customFormat="1" ht="12" x14ac:dyDescent="0.2">
      <c r="A35" s="104">
        <v>165</v>
      </c>
      <c r="B35" s="48" t="s">
        <v>204</v>
      </c>
      <c r="C35" s="49" t="s">
        <v>205</v>
      </c>
      <c r="D35" s="50">
        <v>41390</v>
      </c>
      <c r="E35" s="51" t="s">
        <v>206</v>
      </c>
      <c r="F35" s="49" t="s">
        <v>75</v>
      </c>
      <c r="G35" s="49" t="s">
        <v>322</v>
      </c>
      <c r="H35" s="49" t="s">
        <v>46</v>
      </c>
      <c r="I35" s="49" t="s">
        <v>207</v>
      </c>
      <c r="J35" s="49" t="s">
        <v>158</v>
      </c>
      <c r="K35" s="49" t="s">
        <v>46</v>
      </c>
      <c r="L35" s="49"/>
      <c r="M35" s="50"/>
      <c r="N35" s="49"/>
      <c r="O35" s="49"/>
      <c r="P35" s="50"/>
      <c r="Q35" s="52" t="s">
        <v>208</v>
      </c>
      <c r="R35" s="36"/>
      <c r="S35" s="47" t="s">
        <v>149</v>
      </c>
    </row>
    <row r="36" spans="1:19" s="47" customFormat="1" ht="12" x14ac:dyDescent="0.2">
      <c r="A36" s="104">
        <v>200</v>
      </c>
      <c r="B36" s="48" t="s">
        <v>209</v>
      </c>
      <c r="C36" s="49" t="s">
        <v>210</v>
      </c>
      <c r="D36" s="50">
        <v>41641</v>
      </c>
      <c r="E36" s="51" t="s">
        <v>211</v>
      </c>
      <c r="F36" s="49" t="s">
        <v>70</v>
      </c>
      <c r="G36" s="49" t="s">
        <v>121</v>
      </c>
      <c r="H36" s="49" t="s">
        <v>60</v>
      </c>
      <c r="I36" s="49" t="s">
        <v>147</v>
      </c>
      <c r="J36" s="49" t="s">
        <v>60</v>
      </c>
      <c r="K36" s="49" t="s">
        <v>60</v>
      </c>
      <c r="L36" s="49"/>
      <c r="M36" s="50"/>
      <c r="N36" s="49"/>
      <c r="O36" s="49"/>
      <c r="P36" s="50"/>
      <c r="Q36" s="52"/>
      <c r="R36" s="36"/>
      <c r="S36" s="47" t="s">
        <v>213</v>
      </c>
    </row>
    <row r="37" spans="1:19" s="47" customFormat="1" ht="12" x14ac:dyDescent="0.2">
      <c r="A37" s="104">
        <v>211</v>
      </c>
      <c r="B37" s="48" t="s">
        <v>214</v>
      </c>
      <c r="C37" s="49" t="s">
        <v>215</v>
      </c>
      <c r="D37" s="50">
        <v>41651</v>
      </c>
      <c r="E37" s="51" t="s">
        <v>237</v>
      </c>
      <c r="F37" s="49" t="s">
        <v>70</v>
      </c>
      <c r="G37" s="49" t="s">
        <v>296</v>
      </c>
      <c r="H37" s="49" t="s">
        <v>61</v>
      </c>
      <c r="I37" s="49" t="s">
        <v>174</v>
      </c>
      <c r="J37" s="49" t="s">
        <v>175</v>
      </c>
      <c r="K37" s="49" t="s">
        <v>61</v>
      </c>
      <c r="L37" s="49"/>
      <c r="M37" s="50"/>
      <c r="N37" s="49"/>
      <c r="O37" s="49"/>
      <c r="P37" s="50"/>
      <c r="Q37" s="52"/>
      <c r="R37" s="36"/>
      <c r="S37" s="47" t="s">
        <v>149</v>
      </c>
    </row>
    <row r="38" spans="1:19" s="47" customFormat="1" ht="12" x14ac:dyDescent="0.2">
      <c r="A38" s="104">
        <v>197</v>
      </c>
      <c r="B38" s="48" t="s">
        <v>217</v>
      </c>
      <c r="C38" s="49" t="s">
        <v>218</v>
      </c>
      <c r="D38" s="50">
        <v>41652</v>
      </c>
      <c r="E38" s="51" t="s">
        <v>219</v>
      </c>
      <c r="F38" s="49" t="s">
        <v>70</v>
      </c>
      <c r="G38" s="49" t="s">
        <v>220</v>
      </c>
      <c r="H38" s="49" t="s">
        <v>223</v>
      </c>
      <c r="I38" s="49" t="s">
        <v>221</v>
      </c>
      <c r="J38" s="49" t="s">
        <v>222</v>
      </c>
      <c r="K38" s="49" t="s">
        <v>223</v>
      </c>
      <c r="L38" s="49"/>
      <c r="M38" s="50"/>
      <c r="N38" s="49"/>
      <c r="O38" s="49"/>
      <c r="P38" s="50"/>
      <c r="Q38" s="52"/>
      <c r="R38" s="36"/>
      <c r="S38" s="47" t="s">
        <v>213</v>
      </c>
    </row>
    <row r="39" spans="1:19" s="47" customFormat="1" ht="12" x14ac:dyDescent="0.2">
      <c r="A39" s="104">
        <v>202</v>
      </c>
      <c r="B39" s="48" t="s">
        <v>224</v>
      </c>
      <c r="C39" s="49" t="s">
        <v>225</v>
      </c>
      <c r="D39" s="50">
        <v>41701</v>
      </c>
      <c r="E39" s="51" t="s">
        <v>226</v>
      </c>
      <c r="F39" s="49" t="s">
        <v>70</v>
      </c>
      <c r="G39" s="49" t="s">
        <v>227</v>
      </c>
      <c r="H39" s="49" t="s">
        <v>223</v>
      </c>
      <c r="I39" s="49" t="s">
        <v>221</v>
      </c>
      <c r="J39" s="49" t="s">
        <v>227</v>
      </c>
      <c r="K39" s="49" t="s">
        <v>223</v>
      </c>
      <c r="L39" s="49"/>
      <c r="M39" s="50"/>
      <c r="N39" s="49"/>
      <c r="O39" s="49"/>
      <c r="P39" s="50"/>
      <c r="Q39" s="52"/>
      <c r="R39" s="36"/>
      <c r="S39" s="47" t="s">
        <v>149</v>
      </c>
    </row>
    <row r="40" spans="1:19" s="47" customFormat="1" ht="12" x14ac:dyDescent="0.2">
      <c r="A40" s="104">
        <v>203</v>
      </c>
      <c r="B40" s="48" t="s">
        <v>229</v>
      </c>
      <c r="C40" s="49" t="s">
        <v>230</v>
      </c>
      <c r="D40" s="50">
        <v>41715</v>
      </c>
      <c r="E40" s="51" t="s">
        <v>169</v>
      </c>
      <c r="F40" s="49" t="s">
        <v>70</v>
      </c>
      <c r="G40" s="49" t="s">
        <v>120</v>
      </c>
      <c r="H40" s="49" t="s">
        <v>57</v>
      </c>
      <c r="I40" s="49" t="s">
        <v>231</v>
      </c>
      <c r="J40" s="49" t="s">
        <v>72</v>
      </c>
      <c r="K40" s="49" t="s">
        <v>57</v>
      </c>
      <c r="L40" s="49"/>
      <c r="M40" s="50"/>
      <c r="N40" s="49"/>
      <c r="O40" s="49"/>
      <c r="P40" s="50"/>
      <c r="Q40" s="52"/>
      <c r="R40" s="36"/>
      <c r="S40" s="47" t="s">
        <v>149</v>
      </c>
    </row>
    <row r="41" spans="1:19" s="47" customFormat="1" ht="12" x14ac:dyDescent="0.2">
      <c r="A41" s="104">
        <v>274</v>
      </c>
      <c r="B41" s="48" t="s">
        <v>232</v>
      </c>
      <c r="C41" s="49" t="s">
        <v>233</v>
      </c>
      <c r="D41" s="50">
        <v>41957</v>
      </c>
      <c r="E41" s="51" t="s">
        <v>234</v>
      </c>
      <c r="F41" s="49" t="s">
        <v>70</v>
      </c>
      <c r="G41" s="49" t="s">
        <v>106</v>
      </c>
      <c r="H41" s="49" t="s">
        <v>46</v>
      </c>
      <c r="I41" s="49" t="s">
        <v>157</v>
      </c>
      <c r="J41" s="49" t="s">
        <v>106</v>
      </c>
      <c r="K41" s="49" t="s">
        <v>46</v>
      </c>
      <c r="L41" s="49"/>
      <c r="M41" s="50"/>
      <c r="N41" s="49"/>
      <c r="O41" s="49"/>
      <c r="P41" s="50"/>
      <c r="Q41" s="52"/>
      <c r="R41" s="36"/>
      <c r="S41" s="47" t="s">
        <v>149</v>
      </c>
    </row>
    <row r="42" spans="1:19" s="47" customFormat="1" ht="12" x14ac:dyDescent="0.2">
      <c r="A42" s="104">
        <v>190</v>
      </c>
      <c r="B42" s="48" t="s">
        <v>235</v>
      </c>
      <c r="C42" s="49" t="s">
        <v>236</v>
      </c>
      <c r="D42" s="50">
        <v>41984</v>
      </c>
      <c r="E42" s="51" t="s">
        <v>237</v>
      </c>
      <c r="F42" s="49" t="s">
        <v>70</v>
      </c>
      <c r="G42" s="49" t="s">
        <v>296</v>
      </c>
      <c r="H42" s="49" t="s">
        <v>57</v>
      </c>
      <c r="I42" s="49" t="s">
        <v>238</v>
      </c>
      <c r="J42" s="49" t="s">
        <v>239</v>
      </c>
      <c r="K42" s="49" t="s">
        <v>57</v>
      </c>
      <c r="L42" s="49"/>
      <c r="M42" s="50"/>
      <c r="N42" s="49"/>
      <c r="O42" s="49"/>
      <c r="P42" s="50"/>
      <c r="Q42" s="52"/>
      <c r="R42" s="36"/>
      <c r="S42" s="47" t="s">
        <v>149</v>
      </c>
    </row>
    <row r="43" spans="1:19" s="47" customFormat="1" ht="12" x14ac:dyDescent="0.2">
      <c r="A43" s="104">
        <v>249</v>
      </c>
      <c r="B43" s="48" t="s">
        <v>241</v>
      </c>
      <c r="C43" s="49" t="s">
        <v>242</v>
      </c>
      <c r="D43" s="50">
        <v>42377</v>
      </c>
      <c r="E43" s="51" t="s">
        <v>1769</v>
      </c>
      <c r="F43" s="49" t="s">
        <v>1770</v>
      </c>
      <c r="G43" s="49" t="s">
        <v>121</v>
      </c>
      <c r="H43" s="49" t="s">
        <v>60</v>
      </c>
      <c r="I43" s="49" t="s">
        <v>147</v>
      </c>
      <c r="J43" s="49" t="s">
        <v>60</v>
      </c>
      <c r="K43" s="49" t="s">
        <v>60</v>
      </c>
      <c r="L43" s="49"/>
      <c r="M43" s="50"/>
      <c r="N43" s="49"/>
      <c r="O43" s="49"/>
      <c r="P43" s="50"/>
      <c r="Q43" s="52"/>
      <c r="R43" s="36"/>
      <c r="S43" s="47" t="s">
        <v>149</v>
      </c>
    </row>
    <row r="44" spans="1:19" s="47" customFormat="1" ht="12" x14ac:dyDescent="0.2">
      <c r="A44" s="104">
        <v>245</v>
      </c>
      <c r="B44" s="48" t="s">
        <v>246</v>
      </c>
      <c r="C44" s="49" t="s">
        <v>247</v>
      </c>
      <c r="D44" s="50">
        <v>42435</v>
      </c>
      <c r="E44" s="51" t="s">
        <v>1771</v>
      </c>
      <c r="F44" s="49" t="s">
        <v>70</v>
      </c>
      <c r="G44" s="49" t="s">
        <v>347</v>
      </c>
      <c r="H44" s="49" t="s">
        <v>61</v>
      </c>
      <c r="I44" s="49" t="s">
        <v>187</v>
      </c>
      <c r="J44" s="49" t="s">
        <v>249</v>
      </c>
      <c r="K44" s="49" t="s">
        <v>46</v>
      </c>
      <c r="L44" s="49"/>
      <c r="M44" s="50" t="s">
        <v>250</v>
      </c>
      <c r="N44" s="49"/>
      <c r="O44" s="49"/>
      <c r="P44" s="50"/>
      <c r="Q44" s="52" t="s">
        <v>1772</v>
      </c>
      <c r="R44" s="36"/>
      <c r="S44" s="47" t="s">
        <v>149</v>
      </c>
    </row>
    <row r="45" spans="1:19" s="47" customFormat="1" ht="12" x14ac:dyDescent="0.2">
      <c r="A45" s="104">
        <v>264</v>
      </c>
      <c r="B45" s="48" t="s">
        <v>251</v>
      </c>
      <c r="C45" s="49" t="s">
        <v>252</v>
      </c>
      <c r="D45" s="50">
        <v>42741</v>
      </c>
      <c r="E45" s="51" t="s">
        <v>169</v>
      </c>
      <c r="F45" s="49" t="s">
        <v>70</v>
      </c>
      <c r="G45" s="49" t="s">
        <v>120</v>
      </c>
      <c r="H45" s="49" t="s">
        <v>57</v>
      </c>
      <c r="I45" s="49" t="s">
        <v>162</v>
      </c>
      <c r="J45" s="49" t="s">
        <v>239</v>
      </c>
      <c r="K45" s="49" t="s">
        <v>57</v>
      </c>
      <c r="L45" s="49"/>
      <c r="M45" s="50"/>
      <c r="N45" s="49"/>
      <c r="O45" s="49"/>
      <c r="P45" s="50"/>
      <c r="Q45" s="52" t="s">
        <v>1773</v>
      </c>
      <c r="R45" s="36"/>
      <c r="S45" s="47" t="s">
        <v>149</v>
      </c>
    </row>
    <row r="46" spans="1:19" s="47" customFormat="1" ht="12" x14ac:dyDescent="0.2">
      <c r="A46" s="104">
        <v>265</v>
      </c>
      <c r="B46" s="48" t="s">
        <v>254</v>
      </c>
      <c r="C46" s="49" t="s">
        <v>255</v>
      </c>
      <c r="D46" s="50">
        <v>42801</v>
      </c>
      <c r="E46" s="51" t="s">
        <v>256</v>
      </c>
      <c r="F46" s="49" t="s">
        <v>75</v>
      </c>
      <c r="G46" s="49" t="s">
        <v>292</v>
      </c>
      <c r="H46" s="49" t="s">
        <v>46</v>
      </c>
      <c r="I46" s="49" t="s">
        <v>187</v>
      </c>
      <c r="J46" s="49" t="s">
        <v>294</v>
      </c>
      <c r="K46" s="49" t="s">
        <v>46</v>
      </c>
      <c r="L46" s="49"/>
      <c r="M46" s="50"/>
      <c r="N46" s="49"/>
      <c r="O46" s="49"/>
      <c r="P46" s="50"/>
      <c r="Q46" s="52" t="s">
        <v>1774</v>
      </c>
      <c r="R46" s="36"/>
      <c r="S46" s="47" t="s">
        <v>149</v>
      </c>
    </row>
    <row r="47" spans="1:19" s="47" customFormat="1" ht="12" x14ac:dyDescent="0.2">
      <c r="A47" s="104">
        <v>267</v>
      </c>
      <c r="B47" s="48" t="s">
        <v>258</v>
      </c>
      <c r="C47" s="49" t="s">
        <v>259</v>
      </c>
      <c r="D47" s="50">
        <v>43024</v>
      </c>
      <c r="E47" s="51" t="s">
        <v>260</v>
      </c>
      <c r="F47" s="49" t="s">
        <v>70</v>
      </c>
      <c r="G47" s="49" t="s">
        <v>220</v>
      </c>
      <c r="H47" s="49" t="s">
        <v>223</v>
      </c>
      <c r="I47" s="49" t="s">
        <v>221</v>
      </c>
      <c r="J47" s="49" t="s">
        <v>222</v>
      </c>
      <c r="K47" s="49" t="s">
        <v>223</v>
      </c>
      <c r="L47" s="49"/>
      <c r="M47" s="50"/>
      <c r="N47" s="49"/>
      <c r="O47" s="49"/>
      <c r="P47" s="50"/>
      <c r="Q47" s="52"/>
      <c r="R47" s="36"/>
      <c r="S47" s="47" t="s">
        <v>149</v>
      </c>
    </row>
    <row r="48" spans="1:19" s="47" customFormat="1" ht="12" x14ac:dyDescent="0.2">
      <c r="A48" s="104">
        <v>275</v>
      </c>
      <c r="B48" s="48" t="s">
        <v>261</v>
      </c>
      <c r="C48" s="49" t="s">
        <v>300</v>
      </c>
      <c r="D48" s="50">
        <v>43059</v>
      </c>
      <c r="E48" s="51" t="s">
        <v>206</v>
      </c>
      <c r="F48" s="49" t="s">
        <v>1770</v>
      </c>
      <c r="G48" s="49" t="s">
        <v>122</v>
      </c>
      <c r="H48" s="49" t="s">
        <v>57</v>
      </c>
      <c r="I48" s="49" t="s">
        <v>263</v>
      </c>
      <c r="J48" s="49" t="s">
        <v>72</v>
      </c>
      <c r="K48" s="49" t="s">
        <v>57</v>
      </c>
      <c r="L48" s="49"/>
      <c r="M48" s="50"/>
      <c r="N48" s="49"/>
      <c r="O48" s="49"/>
      <c r="P48" s="50"/>
      <c r="Q48" s="52"/>
      <c r="R48" s="36"/>
      <c r="S48" s="47" t="s">
        <v>149</v>
      </c>
    </row>
    <row r="49" spans="1:19" s="47" customFormat="1" ht="12" x14ac:dyDescent="0.2">
      <c r="A49" s="104">
        <v>147</v>
      </c>
      <c r="B49" s="48" t="s">
        <v>264</v>
      </c>
      <c r="C49" s="49" t="s">
        <v>265</v>
      </c>
      <c r="D49" s="50">
        <v>43066</v>
      </c>
      <c r="E49" s="51" t="s">
        <v>266</v>
      </c>
      <c r="F49" s="49" t="s">
        <v>1770</v>
      </c>
      <c r="G49" s="49" t="s">
        <v>119</v>
      </c>
      <c r="H49" s="49" t="s">
        <v>59</v>
      </c>
      <c r="I49" s="49" t="s">
        <v>267</v>
      </c>
      <c r="J49" s="49" t="s">
        <v>268</v>
      </c>
      <c r="K49" s="49" t="s">
        <v>57</v>
      </c>
      <c r="L49" s="49"/>
      <c r="M49" s="50">
        <v>45537</v>
      </c>
      <c r="N49" s="49"/>
      <c r="O49" s="49"/>
      <c r="P49" s="50"/>
      <c r="Q49" s="52" t="s">
        <v>1775</v>
      </c>
      <c r="R49" s="36"/>
      <c r="S49" s="47" t="s">
        <v>149</v>
      </c>
    </row>
    <row r="50" spans="1:19" s="47" customFormat="1" ht="12" x14ac:dyDescent="0.2">
      <c r="A50" s="104">
        <v>290</v>
      </c>
      <c r="B50" s="48" t="s">
        <v>269</v>
      </c>
      <c r="C50" s="48" t="s">
        <v>1062</v>
      </c>
      <c r="D50" s="50">
        <v>43196</v>
      </c>
      <c r="E50" s="51" t="s">
        <v>271</v>
      </c>
      <c r="F50" s="49" t="s">
        <v>70</v>
      </c>
      <c r="G50" s="49" t="s">
        <v>272</v>
      </c>
      <c r="H50" s="49" t="s">
        <v>223</v>
      </c>
      <c r="I50" s="49" t="s">
        <v>221</v>
      </c>
      <c r="J50" s="49" t="s">
        <v>272</v>
      </c>
      <c r="K50" s="49" t="s">
        <v>223</v>
      </c>
      <c r="L50" s="49"/>
      <c r="M50" s="50"/>
      <c r="N50" s="49"/>
      <c r="O50" s="49"/>
      <c r="P50" s="50"/>
      <c r="Q50" s="52"/>
      <c r="R50" s="36"/>
      <c r="S50" s="47" t="s">
        <v>149</v>
      </c>
    </row>
    <row r="51" spans="1:19" s="47" customFormat="1" x14ac:dyDescent="0.2">
      <c r="A51" s="104">
        <v>57</v>
      </c>
      <c r="B51" s="17" t="s">
        <v>273</v>
      </c>
      <c r="C51" s="6" t="s">
        <v>168</v>
      </c>
      <c r="D51" s="7">
        <v>43220</v>
      </c>
      <c r="E51" s="8" t="s">
        <v>274</v>
      </c>
      <c r="F51" s="49" t="s">
        <v>75</v>
      </c>
      <c r="G51" s="49" t="s">
        <v>275</v>
      </c>
      <c r="H51" s="49" t="s">
        <v>62</v>
      </c>
      <c r="I51" s="49"/>
      <c r="J51" s="49" t="s">
        <v>277</v>
      </c>
      <c r="K51" s="49"/>
      <c r="L51" s="49"/>
      <c r="M51" s="50"/>
      <c r="N51" s="49"/>
      <c r="O51" s="49"/>
      <c r="P51" s="50"/>
      <c r="Q51" s="52"/>
      <c r="R51" s="36"/>
      <c r="S51" s="2" t="s">
        <v>213</v>
      </c>
    </row>
    <row r="52" spans="1:19" s="47" customFormat="1" ht="12" x14ac:dyDescent="0.2">
      <c r="A52" s="104">
        <v>277</v>
      </c>
      <c r="B52" s="48" t="s">
        <v>279</v>
      </c>
      <c r="C52" s="49" t="s">
        <v>236</v>
      </c>
      <c r="D52" s="50">
        <v>43313</v>
      </c>
      <c r="E52" s="51" t="s">
        <v>181</v>
      </c>
      <c r="F52" s="49" t="s">
        <v>70</v>
      </c>
      <c r="G52" s="49" t="s">
        <v>322</v>
      </c>
      <c r="H52" s="49" t="s">
        <v>46</v>
      </c>
      <c r="I52" s="49" t="s">
        <v>407</v>
      </c>
      <c r="J52" s="49" t="s">
        <v>158</v>
      </c>
      <c r="K52" s="49" t="s">
        <v>46</v>
      </c>
      <c r="L52" s="49"/>
      <c r="M52" s="50"/>
      <c r="N52" s="49"/>
      <c r="O52" s="49"/>
      <c r="P52" s="50"/>
      <c r="Q52" s="52" t="s">
        <v>1714</v>
      </c>
      <c r="R52" s="36"/>
      <c r="S52" s="47" t="s">
        <v>149</v>
      </c>
    </row>
    <row r="53" spans="1:19" s="47" customFormat="1" ht="12" x14ac:dyDescent="0.2">
      <c r="A53" s="104">
        <v>294</v>
      </c>
      <c r="B53" s="48" t="s">
        <v>280</v>
      </c>
      <c r="C53" s="49" t="s">
        <v>165</v>
      </c>
      <c r="D53" s="50">
        <v>43339</v>
      </c>
      <c r="E53" s="51" t="s">
        <v>1071</v>
      </c>
      <c r="F53" s="49" t="s">
        <v>70</v>
      </c>
      <c r="G53" s="49" t="s">
        <v>106</v>
      </c>
      <c r="H53" s="49" t="s">
        <v>46</v>
      </c>
      <c r="I53" s="49" t="s">
        <v>1654</v>
      </c>
      <c r="J53" s="49" t="s">
        <v>284</v>
      </c>
      <c r="K53" s="49" t="s">
        <v>46</v>
      </c>
      <c r="L53" s="49"/>
      <c r="M53" s="50"/>
      <c r="N53" s="49"/>
      <c r="O53" s="49"/>
      <c r="P53" s="50"/>
      <c r="Q53" s="52"/>
      <c r="R53" s="36"/>
      <c r="S53" s="47" t="s">
        <v>149</v>
      </c>
    </row>
    <row r="54" spans="1:19" s="47" customFormat="1" ht="12" x14ac:dyDescent="0.2">
      <c r="A54" s="104">
        <v>316</v>
      </c>
      <c r="B54" s="48" t="s">
        <v>285</v>
      </c>
      <c r="C54" s="49" t="s">
        <v>286</v>
      </c>
      <c r="D54" s="50">
        <v>43472</v>
      </c>
      <c r="E54" s="51" t="s">
        <v>287</v>
      </c>
      <c r="F54" s="49" t="s">
        <v>70</v>
      </c>
      <c r="G54" s="49" t="s">
        <v>272</v>
      </c>
      <c r="H54" s="49" t="s">
        <v>223</v>
      </c>
      <c r="I54" s="49" t="s">
        <v>288</v>
      </c>
      <c r="J54" s="49" t="s">
        <v>272</v>
      </c>
      <c r="K54" s="49" t="s">
        <v>223</v>
      </c>
      <c r="L54" s="49"/>
      <c r="M54" s="50"/>
      <c r="N54" s="49"/>
      <c r="O54" s="49"/>
      <c r="P54" s="50"/>
      <c r="Q54" s="52"/>
      <c r="R54" s="36"/>
      <c r="S54" s="47" t="s">
        <v>213</v>
      </c>
    </row>
    <row r="55" spans="1:19" s="47" customFormat="1" ht="12" x14ac:dyDescent="0.2">
      <c r="A55" s="104">
        <v>308</v>
      </c>
      <c r="B55" s="48" t="s">
        <v>289</v>
      </c>
      <c r="C55" s="49" t="s">
        <v>290</v>
      </c>
      <c r="D55" s="50">
        <v>43584</v>
      </c>
      <c r="E55" s="51" t="s">
        <v>291</v>
      </c>
      <c r="F55" s="49" t="s">
        <v>70</v>
      </c>
      <c r="G55" s="49" t="s">
        <v>292</v>
      </c>
      <c r="H55" s="49" t="s">
        <v>46</v>
      </c>
      <c r="I55" s="49" t="s">
        <v>293</v>
      </c>
      <c r="J55" s="49" t="s">
        <v>294</v>
      </c>
      <c r="K55" s="49" t="s">
        <v>46</v>
      </c>
      <c r="L55" s="49"/>
      <c r="M55" s="50"/>
      <c r="N55" s="49"/>
      <c r="O55" s="49"/>
      <c r="P55" s="50"/>
      <c r="Q55" s="52"/>
      <c r="R55" s="36"/>
      <c r="S55" s="47" t="s">
        <v>149</v>
      </c>
    </row>
    <row r="56" spans="1:19" s="47" customFormat="1" ht="12" x14ac:dyDescent="0.2">
      <c r="A56" s="104">
        <v>311</v>
      </c>
      <c r="B56" s="48" t="s">
        <v>299</v>
      </c>
      <c r="C56" s="49" t="s">
        <v>300</v>
      </c>
      <c r="D56" s="50">
        <v>43605</v>
      </c>
      <c r="E56" s="51" t="s">
        <v>301</v>
      </c>
      <c r="F56" s="49" t="s">
        <v>70</v>
      </c>
      <c r="G56" s="49" t="s">
        <v>1776</v>
      </c>
      <c r="H56" s="49" t="s">
        <v>59</v>
      </c>
      <c r="I56" s="49" t="s">
        <v>267</v>
      </c>
      <c r="J56" s="49" t="s">
        <v>302</v>
      </c>
      <c r="K56" s="49" t="s">
        <v>59</v>
      </c>
      <c r="L56" s="49"/>
      <c r="M56" s="50"/>
      <c r="N56" s="49"/>
      <c r="O56" s="49"/>
      <c r="P56" s="50"/>
      <c r="Q56" s="52"/>
      <c r="R56" s="36"/>
      <c r="S56" s="47" t="s">
        <v>149</v>
      </c>
    </row>
    <row r="57" spans="1:19" s="47" customFormat="1" ht="12" hidden="1" x14ac:dyDescent="0.2">
      <c r="A57" s="104">
        <v>306</v>
      </c>
      <c r="B57" s="48" t="s">
        <v>196</v>
      </c>
      <c r="C57" s="49" t="s">
        <v>295</v>
      </c>
      <c r="D57" s="50">
        <v>43598</v>
      </c>
      <c r="E57" s="51" t="s">
        <v>237</v>
      </c>
      <c r="F57" s="49" t="s">
        <v>70</v>
      </c>
      <c r="G57" s="49" t="s">
        <v>296</v>
      </c>
      <c r="H57" s="49" t="s">
        <v>59</v>
      </c>
      <c r="I57" s="49" t="s">
        <v>194</v>
      </c>
      <c r="J57" s="49" t="s">
        <v>297</v>
      </c>
      <c r="K57" s="49" t="s">
        <v>59</v>
      </c>
      <c r="L57" s="49"/>
      <c r="M57" s="50"/>
      <c r="N57" s="49"/>
      <c r="O57" s="49"/>
      <c r="P57" s="50"/>
      <c r="Q57" s="52" t="s">
        <v>298</v>
      </c>
      <c r="R57" s="138">
        <v>45674</v>
      </c>
      <c r="S57" s="47" t="s">
        <v>149</v>
      </c>
    </row>
    <row r="58" spans="1:19" s="47" customFormat="1" ht="12" x14ac:dyDescent="0.2">
      <c r="A58" s="104">
        <v>320</v>
      </c>
      <c r="B58" s="48" t="s">
        <v>306</v>
      </c>
      <c r="C58" s="49" t="s">
        <v>307</v>
      </c>
      <c r="D58" s="50">
        <v>43675</v>
      </c>
      <c r="E58" s="51" t="s">
        <v>181</v>
      </c>
      <c r="F58" s="49" t="s">
        <v>70</v>
      </c>
      <c r="G58" s="49" t="s">
        <v>120</v>
      </c>
      <c r="H58" s="49" t="s">
        <v>57</v>
      </c>
      <c r="I58" s="49" t="s">
        <v>162</v>
      </c>
      <c r="J58" s="49" t="s">
        <v>239</v>
      </c>
      <c r="K58" s="49" t="s">
        <v>57</v>
      </c>
      <c r="L58" s="49"/>
      <c r="M58" s="50"/>
      <c r="N58" s="49"/>
      <c r="O58" s="49"/>
      <c r="P58" s="50"/>
      <c r="Q58" s="52" t="s">
        <v>1694</v>
      </c>
      <c r="R58" s="36"/>
      <c r="S58" s="47" t="s">
        <v>149</v>
      </c>
    </row>
    <row r="59" spans="1:19" s="47" customFormat="1" ht="12" hidden="1" x14ac:dyDescent="0.2">
      <c r="A59" s="104">
        <v>315</v>
      </c>
      <c r="B59" s="48" t="s">
        <v>303</v>
      </c>
      <c r="C59" s="49" t="s">
        <v>304</v>
      </c>
      <c r="D59" s="50">
        <v>43633</v>
      </c>
      <c r="E59" s="51" t="s">
        <v>305</v>
      </c>
      <c r="F59" s="49" t="s">
        <v>70</v>
      </c>
      <c r="G59" s="49" t="s">
        <v>272</v>
      </c>
      <c r="H59" s="49" t="s">
        <v>223</v>
      </c>
      <c r="I59" s="49" t="s">
        <v>288</v>
      </c>
      <c r="J59" s="49" t="s">
        <v>272</v>
      </c>
      <c r="K59" s="49" t="s">
        <v>223</v>
      </c>
      <c r="L59" s="49"/>
      <c r="M59" s="50"/>
      <c r="N59" s="49"/>
      <c r="O59" s="49"/>
      <c r="P59" s="50"/>
      <c r="Q59" s="52"/>
      <c r="R59" s="138">
        <v>45680</v>
      </c>
      <c r="S59" s="47" t="s">
        <v>149</v>
      </c>
    </row>
    <row r="60" spans="1:19" s="47" customFormat="1" ht="12" x14ac:dyDescent="0.2">
      <c r="A60" s="104">
        <v>333</v>
      </c>
      <c r="B60" s="53" t="s">
        <v>308</v>
      </c>
      <c r="C60" s="54" t="s">
        <v>165</v>
      </c>
      <c r="D60" s="50">
        <v>43767</v>
      </c>
      <c r="E60" s="55" t="s">
        <v>181</v>
      </c>
      <c r="F60" s="49" t="s">
        <v>70</v>
      </c>
      <c r="G60" s="49" t="s">
        <v>120</v>
      </c>
      <c r="H60" s="49" t="s">
        <v>59</v>
      </c>
      <c r="I60" s="49" t="s">
        <v>309</v>
      </c>
      <c r="J60" s="49" t="s">
        <v>297</v>
      </c>
      <c r="K60" s="49" t="s">
        <v>59</v>
      </c>
      <c r="L60" s="49"/>
      <c r="M60" s="50"/>
      <c r="N60" s="49"/>
      <c r="O60" s="49" t="s">
        <v>310</v>
      </c>
      <c r="P60" s="50">
        <v>45467</v>
      </c>
      <c r="Q60" s="52"/>
      <c r="R60" s="36"/>
      <c r="S60" s="47" t="s">
        <v>149</v>
      </c>
    </row>
    <row r="61" spans="1:19" s="47" customFormat="1" ht="12" x14ac:dyDescent="0.2">
      <c r="A61" s="104">
        <v>342</v>
      </c>
      <c r="B61" s="48" t="s">
        <v>311</v>
      </c>
      <c r="C61" s="49" t="s">
        <v>312</v>
      </c>
      <c r="D61" s="50">
        <v>43784</v>
      </c>
      <c r="E61" s="51" t="s">
        <v>169</v>
      </c>
      <c r="F61" s="49" t="s">
        <v>70</v>
      </c>
      <c r="G61" s="49" t="s">
        <v>120</v>
      </c>
      <c r="H61" s="49" t="s">
        <v>61</v>
      </c>
      <c r="I61" s="49" t="s">
        <v>231</v>
      </c>
      <c r="J61" s="49" t="s">
        <v>249</v>
      </c>
      <c r="K61" s="49" t="s">
        <v>57</v>
      </c>
      <c r="L61" s="49" t="s">
        <v>61</v>
      </c>
      <c r="M61" s="50">
        <v>45551</v>
      </c>
      <c r="N61" s="49"/>
      <c r="O61" s="49" t="s">
        <v>315</v>
      </c>
      <c r="P61" s="50"/>
      <c r="Q61" s="52" t="s">
        <v>1777</v>
      </c>
      <c r="R61" s="36"/>
      <c r="S61" s="47" t="s">
        <v>149</v>
      </c>
    </row>
    <row r="62" spans="1:19" s="47" customFormat="1" ht="12" x14ac:dyDescent="0.2">
      <c r="A62" s="104">
        <v>344</v>
      </c>
      <c r="B62" s="48" t="s">
        <v>316</v>
      </c>
      <c r="C62" s="49" t="s">
        <v>317</v>
      </c>
      <c r="D62" s="50">
        <v>43861</v>
      </c>
      <c r="E62" s="51" t="s">
        <v>1140</v>
      </c>
      <c r="F62" s="49" t="s">
        <v>70</v>
      </c>
      <c r="G62" s="49" t="s">
        <v>322</v>
      </c>
      <c r="H62" s="49" t="s">
        <v>46</v>
      </c>
      <c r="I62" s="49" t="s">
        <v>207</v>
      </c>
      <c r="J62" s="49" t="s">
        <v>158</v>
      </c>
      <c r="K62" s="49" t="s">
        <v>46</v>
      </c>
      <c r="L62" s="49"/>
      <c r="M62" s="50"/>
      <c r="N62" s="49"/>
      <c r="O62" s="49"/>
      <c r="P62" s="50"/>
      <c r="Q62" s="36"/>
      <c r="R62" s="36"/>
      <c r="S62" s="47" t="s">
        <v>213</v>
      </c>
    </row>
    <row r="63" spans="1:19" s="47" customFormat="1" ht="12" x14ac:dyDescent="0.2">
      <c r="A63" s="104">
        <v>348</v>
      </c>
      <c r="B63" s="48" t="s">
        <v>319</v>
      </c>
      <c r="C63" s="49" t="s">
        <v>320</v>
      </c>
      <c r="D63" s="50">
        <v>43892</v>
      </c>
      <c r="E63" s="51" t="s">
        <v>321</v>
      </c>
      <c r="F63" s="49" t="s">
        <v>70</v>
      </c>
      <c r="G63" s="49" t="s">
        <v>322</v>
      </c>
      <c r="H63" s="49" t="s">
        <v>46</v>
      </c>
      <c r="I63" s="49" t="s">
        <v>187</v>
      </c>
      <c r="J63" s="49" t="s">
        <v>158</v>
      </c>
      <c r="K63" s="49" t="s">
        <v>46</v>
      </c>
      <c r="L63" s="49"/>
      <c r="M63" s="50"/>
      <c r="N63" s="49"/>
      <c r="O63" s="49"/>
      <c r="P63" s="50"/>
      <c r="Q63" s="52" t="s">
        <v>1778</v>
      </c>
      <c r="R63" s="36"/>
      <c r="S63" s="47" t="s">
        <v>149</v>
      </c>
    </row>
    <row r="64" spans="1:19" s="47" customFormat="1" ht="12" x14ac:dyDescent="0.2">
      <c r="A64" s="104">
        <v>352</v>
      </c>
      <c r="B64" s="48" t="s">
        <v>323</v>
      </c>
      <c r="C64" s="49" t="s">
        <v>324</v>
      </c>
      <c r="D64" s="50">
        <v>43913</v>
      </c>
      <c r="E64" s="51" t="s">
        <v>325</v>
      </c>
      <c r="F64" s="49" t="s">
        <v>70</v>
      </c>
      <c r="G64" s="49" t="s">
        <v>322</v>
      </c>
      <c r="H64" s="49" t="s">
        <v>46</v>
      </c>
      <c r="I64" s="49" t="s">
        <v>187</v>
      </c>
      <c r="J64" s="49" t="s">
        <v>158</v>
      </c>
      <c r="K64" s="49" t="s">
        <v>46</v>
      </c>
      <c r="L64" s="49"/>
      <c r="M64" s="50"/>
      <c r="N64" s="49"/>
      <c r="O64" s="49"/>
      <c r="P64" s="50"/>
      <c r="Q64" s="52"/>
      <c r="R64" s="36"/>
      <c r="S64" s="47" t="s">
        <v>213</v>
      </c>
    </row>
    <row r="65" spans="1:19" s="47" customFormat="1" ht="12" x14ac:dyDescent="0.2">
      <c r="A65" s="104">
        <v>359</v>
      </c>
      <c r="B65" s="48" t="s">
        <v>326</v>
      </c>
      <c r="C65" s="49" t="s">
        <v>327</v>
      </c>
      <c r="D65" s="50">
        <v>44006</v>
      </c>
      <c r="E65" s="51" t="s">
        <v>328</v>
      </c>
      <c r="F65" s="49" t="s">
        <v>70</v>
      </c>
      <c r="G65" s="49" t="s">
        <v>55</v>
      </c>
      <c r="H65" s="49" t="s">
        <v>55</v>
      </c>
      <c r="I65" s="49" t="s">
        <v>329</v>
      </c>
      <c r="J65" s="49" t="s">
        <v>55</v>
      </c>
      <c r="K65" s="49" t="s">
        <v>55</v>
      </c>
      <c r="L65" s="49"/>
      <c r="M65" s="50"/>
      <c r="N65" s="49"/>
      <c r="O65" s="49"/>
      <c r="P65" s="50"/>
      <c r="Q65" s="52"/>
      <c r="R65" s="36"/>
      <c r="S65" s="47" t="s">
        <v>149</v>
      </c>
    </row>
    <row r="66" spans="1:19" s="47" customFormat="1" ht="12" x14ac:dyDescent="0.2">
      <c r="A66" s="104">
        <v>360</v>
      </c>
      <c r="B66" s="48" t="s">
        <v>331</v>
      </c>
      <c r="C66" s="49" t="s">
        <v>332</v>
      </c>
      <c r="D66" s="50">
        <v>44027</v>
      </c>
      <c r="E66" s="51" t="s">
        <v>333</v>
      </c>
      <c r="F66" s="49" t="s">
        <v>70</v>
      </c>
      <c r="G66" s="49" t="s">
        <v>55</v>
      </c>
      <c r="H66" s="49" t="s">
        <v>55</v>
      </c>
      <c r="I66" s="49" t="s">
        <v>334</v>
      </c>
      <c r="J66" s="49" t="s">
        <v>55</v>
      </c>
      <c r="K66" s="49" t="s">
        <v>55</v>
      </c>
      <c r="L66" s="49"/>
      <c r="M66" s="50"/>
      <c r="N66" s="49"/>
      <c r="O66" s="49"/>
      <c r="P66" s="50"/>
      <c r="Q66" s="52"/>
      <c r="R66" s="36"/>
      <c r="S66" s="47" t="s">
        <v>149</v>
      </c>
    </row>
    <row r="67" spans="1:19" s="47" customFormat="1" ht="12" x14ac:dyDescent="0.2">
      <c r="A67" s="104">
        <v>361</v>
      </c>
      <c r="B67" s="48" t="s">
        <v>335</v>
      </c>
      <c r="C67" s="49" t="s">
        <v>336</v>
      </c>
      <c r="D67" s="50">
        <v>44032</v>
      </c>
      <c r="E67" s="51" t="s">
        <v>1162</v>
      </c>
      <c r="F67" s="49" t="s">
        <v>70</v>
      </c>
      <c r="G67" s="49" t="s">
        <v>338</v>
      </c>
      <c r="H67" s="49" t="s">
        <v>223</v>
      </c>
      <c r="I67" s="49" t="s">
        <v>288</v>
      </c>
      <c r="J67" s="49" t="s">
        <v>272</v>
      </c>
      <c r="K67" s="49" t="s">
        <v>223</v>
      </c>
      <c r="L67" s="49"/>
      <c r="M67" s="50"/>
      <c r="N67" s="49"/>
      <c r="O67" s="49"/>
      <c r="P67" s="50"/>
      <c r="Q67" s="52"/>
      <c r="R67" s="36"/>
      <c r="S67" s="47" t="s">
        <v>149</v>
      </c>
    </row>
    <row r="68" spans="1:19" s="47" customFormat="1" ht="12" x14ac:dyDescent="0.2">
      <c r="A68" s="104">
        <v>434</v>
      </c>
      <c r="B68" s="48" t="s">
        <v>354</v>
      </c>
      <c r="C68" s="49" t="s">
        <v>355</v>
      </c>
      <c r="D68" s="50">
        <v>44234</v>
      </c>
      <c r="E68" s="51" t="s">
        <v>356</v>
      </c>
      <c r="F68" s="49" t="s">
        <v>70</v>
      </c>
      <c r="G68" s="49" t="s">
        <v>106</v>
      </c>
      <c r="H68" s="49" t="s">
        <v>46</v>
      </c>
      <c r="I68" s="49" t="s">
        <v>1654</v>
      </c>
      <c r="J68" s="49" t="s">
        <v>284</v>
      </c>
      <c r="K68" s="49" t="s">
        <v>46</v>
      </c>
      <c r="L68" s="49"/>
      <c r="M68" s="50"/>
      <c r="N68" s="49"/>
      <c r="O68" s="49"/>
      <c r="P68" s="50"/>
      <c r="Q68" s="52"/>
      <c r="R68" s="36"/>
      <c r="S68" s="47" t="s">
        <v>149</v>
      </c>
    </row>
    <row r="69" spans="1:19" s="47" customFormat="1" ht="12" x14ac:dyDescent="0.2">
      <c r="A69" s="104">
        <v>395</v>
      </c>
      <c r="B69" s="48" t="s">
        <v>358</v>
      </c>
      <c r="C69" s="49" t="s">
        <v>359</v>
      </c>
      <c r="D69" s="50">
        <v>44249</v>
      </c>
      <c r="E69" s="51" t="s">
        <v>169</v>
      </c>
      <c r="F69" s="49" t="s">
        <v>75</v>
      </c>
      <c r="G69" s="49" t="s">
        <v>322</v>
      </c>
      <c r="H69" s="49" t="s">
        <v>46</v>
      </c>
      <c r="I69" s="49" t="s">
        <v>407</v>
      </c>
      <c r="J69" s="49" t="s">
        <v>158</v>
      </c>
      <c r="K69" s="49" t="s">
        <v>46</v>
      </c>
      <c r="L69" s="49"/>
      <c r="M69" s="50"/>
      <c r="N69" s="49"/>
      <c r="O69" s="49"/>
      <c r="P69" s="50"/>
      <c r="Q69" s="52" t="s">
        <v>1779</v>
      </c>
      <c r="R69" s="36"/>
      <c r="S69" s="47" t="s">
        <v>149</v>
      </c>
    </row>
    <row r="70" spans="1:19" s="47" customFormat="1" ht="12" x14ac:dyDescent="0.2">
      <c r="A70" s="104">
        <v>398</v>
      </c>
      <c r="B70" s="48" t="s">
        <v>335</v>
      </c>
      <c r="C70" s="49" t="s">
        <v>360</v>
      </c>
      <c r="D70" s="50">
        <v>44270</v>
      </c>
      <c r="E70" s="51" t="s">
        <v>206</v>
      </c>
      <c r="F70" s="49" t="s">
        <v>70</v>
      </c>
      <c r="G70" s="49" t="s">
        <v>322</v>
      </c>
      <c r="H70" s="49" t="s">
        <v>46</v>
      </c>
      <c r="I70" s="49" t="s">
        <v>207</v>
      </c>
      <c r="J70" s="49" t="s">
        <v>158</v>
      </c>
      <c r="K70" s="49" t="s">
        <v>46</v>
      </c>
      <c r="L70" s="49"/>
      <c r="M70" s="50"/>
      <c r="N70" s="49"/>
      <c r="O70" s="49"/>
      <c r="P70" s="50"/>
      <c r="Q70" s="52"/>
      <c r="R70" s="36"/>
      <c r="S70" s="47" t="s">
        <v>149</v>
      </c>
    </row>
    <row r="71" spans="1:19" s="47" customFormat="1" ht="12" x14ac:dyDescent="0.2">
      <c r="A71" s="104">
        <v>405</v>
      </c>
      <c r="B71" s="48" t="s">
        <v>362</v>
      </c>
      <c r="C71" s="49" t="s">
        <v>363</v>
      </c>
      <c r="D71" s="50">
        <v>44299</v>
      </c>
      <c r="E71" s="51" t="s">
        <v>364</v>
      </c>
      <c r="F71" s="49" t="s">
        <v>70</v>
      </c>
      <c r="G71" s="49" t="s">
        <v>106</v>
      </c>
      <c r="H71" s="49" t="s">
        <v>46</v>
      </c>
      <c r="I71" s="49" t="s">
        <v>1654</v>
      </c>
      <c r="J71" s="49" t="s">
        <v>366</v>
      </c>
      <c r="K71" s="49" t="s">
        <v>46</v>
      </c>
      <c r="L71" s="49"/>
      <c r="M71" s="50"/>
      <c r="N71" s="49"/>
      <c r="O71" s="49"/>
      <c r="P71" s="50"/>
      <c r="Q71" s="52"/>
      <c r="R71" s="36"/>
      <c r="S71" s="47" t="s">
        <v>213</v>
      </c>
    </row>
    <row r="72" spans="1:19" s="47" customFormat="1" ht="12" x14ac:dyDescent="0.2">
      <c r="A72" s="104">
        <v>412</v>
      </c>
      <c r="B72" s="48" t="s">
        <v>367</v>
      </c>
      <c r="C72" s="49" t="s">
        <v>368</v>
      </c>
      <c r="D72" s="50">
        <v>44329</v>
      </c>
      <c r="E72" s="51" t="s">
        <v>169</v>
      </c>
      <c r="F72" s="49" t="s">
        <v>75</v>
      </c>
      <c r="G72" s="49" t="s">
        <v>322</v>
      </c>
      <c r="H72" s="49" t="s">
        <v>46</v>
      </c>
      <c r="I72" s="49" t="s">
        <v>407</v>
      </c>
      <c r="J72" s="49" t="s">
        <v>158</v>
      </c>
      <c r="K72" s="49" t="s">
        <v>46</v>
      </c>
      <c r="L72" s="49"/>
      <c r="M72" s="50"/>
      <c r="N72" s="49"/>
      <c r="O72" s="49"/>
      <c r="P72" s="50"/>
      <c r="Q72" s="52" t="s">
        <v>369</v>
      </c>
      <c r="R72" s="36"/>
      <c r="S72" s="47" t="s">
        <v>149</v>
      </c>
    </row>
    <row r="73" spans="1:19" s="47" customFormat="1" ht="12" x14ac:dyDescent="0.2">
      <c r="A73" s="104">
        <v>418</v>
      </c>
      <c r="B73" s="48" t="s">
        <v>375</v>
      </c>
      <c r="C73" s="49" t="s">
        <v>376</v>
      </c>
      <c r="D73" s="50">
        <v>44336</v>
      </c>
      <c r="E73" s="51" t="s">
        <v>372</v>
      </c>
      <c r="F73" s="49" t="s">
        <v>75</v>
      </c>
      <c r="G73" s="49" t="s">
        <v>120</v>
      </c>
      <c r="H73" s="49" t="s">
        <v>57</v>
      </c>
      <c r="I73" s="49" t="s">
        <v>162</v>
      </c>
      <c r="J73" s="49" t="s">
        <v>163</v>
      </c>
      <c r="K73" s="49" t="s">
        <v>57</v>
      </c>
      <c r="L73" s="49"/>
      <c r="M73" s="50"/>
      <c r="N73" s="49"/>
      <c r="O73" s="49"/>
      <c r="P73" s="50"/>
      <c r="Q73" s="52" t="s">
        <v>377</v>
      </c>
      <c r="R73" s="138"/>
      <c r="S73" s="47" t="s">
        <v>149</v>
      </c>
    </row>
    <row r="74" spans="1:19" s="47" customFormat="1" ht="12" x14ac:dyDescent="0.2">
      <c r="A74" s="104">
        <v>414</v>
      </c>
      <c r="B74" s="48" t="s">
        <v>378</v>
      </c>
      <c r="C74" s="49" t="s">
        <v>379</v>
      </c>
      <c r="D74" s="50">
        <v>44336</v>
      </c>
      <c r="E74" s="51" t="s">
        <v>372</v>
      </c>
      <c r="F74" s="49" t="s">
        <v>70</v>
      </c>
      <c r="G74" s="49" t="s">
        <v>120</v>
      </c>
      <c r="H74" s="49" t="s">
        <v>61</v>
      </c>
      <c r="I74" s="49" t="s">
        <v>314</v>
      </c>
      <c r="J74" s="49" t="s">
        <v>175</v>
      </c>
      <c r="K74" s="49" t="s">
        <v>61</v>
      </c>
      <c r="L74" s="49"/>
      <c r="M74" s="50"/>
      <c r="N74" s="49"/>
      <c r="O74" s="49"/>
      <c r="P74" s="50"/>
      <c r="Q74" s="52" t="s">
        <v>381</v>
      </c>
      <c r="R74" s="36"/>
      <c r="S74" s="47" t="s">
        <v>149</v>
      </c>
    </row>
    <row r="75" spans="1:19" s="47" customFormat="1" ht="12" x14ac:dyDescent="0.2">
      <c r="A75" s="104">
        <v>419</v>
      </c>
      <c r="B75" s="48" t="s">
        <v>370</v>
      </c>
      <c r="C75" s="49" t="s">
        <v>371</v>
      </c>
      <c r="D75" s="50">
        <v>44336</v>
      </c>
      <c r="E75" s="51" t="s">
        <v>372</v>
      </c>
      <c r="F75" s="49" t="s">
        <v>70</v>
      </c>
      <c r="G75" s="49" t="s">
        <v>120</v>
      </c>
      <c r="H75" s="49" t="s">
        <v>57</v>
      </c>
      <c r="I75" s="49" t="s">
        <v>231</v>
      </c>
      <c r="J75" s="49" t="s">
        <v>72</v>
      </c>
      <c r="K75" s="49" t="s">
        <v>57</v>
      </c>
      <c r="L75" s="49"/>
      <c r="M75" s="50"/>
      <c r="N75" s="49"/>
      <c r="O75" s="49"/>
      <c r="P75" s="50"/>
      <c r="Q75" s="52"/>
      <c r="R75" s="36"/>
      <c r="S75" s="47" t="s">
        <v>149</v>
      </c>
    </row>
    <row r="76" spans="1:19" s="47" customFormat="1" ht="12" x14ac:dyDescent="0.2">
      <c r="A76" s="104">
        <v>420</v>
      </c>
      <c r="B76" s="48" t="s">
        <v>373</v>
      </c>
      <c r="C76" s="49" t="s">
        <v>374</v>
      </c>
      <c r="D76" s="50">
        <v>44336</v>
      </c>
      <c r="E76" s="51" t="s">
        <v>372</v>
      </c>
      <c r="F76" s="49" t="s">
        <v>70</v>
      </c>
      <c r="G76" s="49" t="s">
        <v>120</v>
      </c>
      <c r="H76" s="49" t="s">
        <v>61</v>
      </c>
      <c r="I76" s="49" t="s">
        <v>314</v>
      </c>
      <c r="J76" s="49" t="s">
        <v>175</v>
      </c>
      <c r="K76" s="49" t="s">
        <v>61</v>
      </c>
      <c r="L76" s="49"/>
      <c r="M76" s="50"/>
      <c r="N76" s="49"/>
      <c r="O76" s="49"/>
      <c r="P76" s="50"/>
      <c r="Q76" s="52"/>
      <c r="R76" s="36"/>
      <c r="S76" s="47" t="s">
        <v>149</v>
      </c>
    </row>
    <row r="77" spans="1:19" s="47" customFormat="1" ht="12" x14ac:dyDescent="0.2">
      <c r="A77" s="104">
        <v>421</v>
      </c>
      <c r="B77" s="48" t="s">
        <v>382</v>
      </c>
      <c r="C77" s="49" t="s">
        <v>383</v>
      </c>
      <c r="D77" s="50">
        <v>44343</v>
      </c>
      <c r="E77" s="51" t="s">
        <v>169</v>
      </c>
      <c r="F77" s="49" t="s">
        <v>70</v>
      </c>
      <c r="G77" s="49" t="s">
        <v>322</v>
      </c>
      <c r="H77" s="49" t="s">
        <v>46</v>
      </c>
      <c r="I77" s="49" t="s">
        <v>407</v>
      </c>
      <c r="J77" s="49" t="s">
        <v>158</v>
      </c>
      <c r="K77" s="49" t="s">
        <v>46</v>
      </c>
      <c r="L77" s="49"/>
      <c r="M77" s="50"/>
      <c r="N77" s="49"/>
      <c r="O77" s="49"/>
      <c r="P77" s="50"/>
      <c r="Q77" s="52" t="s">
        <v>1695</v>
      </c>
      <c r="R77" s="36"/>
      <c r="S77" s="47" t="s">
        <v>149</v>
      </c>
    </row>
    <row r="78" spans="1:19" s="47" customFormat="1" ht="12" x14ac:dyDescent="0.2">
      <c r="A78" s="104">
        <v>484</v>
      </c>
      <c r="B78" s="48" t="s">
        <v>384</v>
      </c>
      <c r="C78" s="49" t="s">
        <v>385</v>
      </c>
      <c r="D78" s="50">
        <v>44359</v>
      </c>
      <c r="E78" s="51" t="s">
        <v>386</v>
      </c>
      <c r="F78" s="49" t="s">
        <v>70</v>
      </c>
      <c r="G78" s="49" t="s">
        <v>322</v>
      </c>
      <c r="H78" s="49" t="s">
        <v>46</v>
      </c>
      <c r="I78" s="49" t="s">
        <v>187</v>
      </c>
      <c r="J78" s="49" t="s">
        <v>158</v>
      </c>
      <c r="K78" s="49" t="s">
        <v>46</v>
      </c>
      <c r="L78" s="49"/>
      <c r="M78" s="50"/>
      <c r="N78" s="49"/>
      <c r="O78" s="49"/>
      <c r="P78" s="50"/>
      <c r="Q78" s="172" t="s">
        <v>389</v>
      </c>
      <c r="R78" s="36"/>
      <c r="S78" s="47" t="s">
        <v>213</v>
      </c>
    </row>
    <row r="79" spans="1:19" s="47" customFormat="1" ht="12" x14ac:dyDescent="0.2">
      <c r="A79" s="104">
        <v>485</v>
      </c>
      <c r="B79" s="48" t="s">
        <v>390</v>
      </c>
      <c r="C79" s="49" t="s">
        <v>391</v>
      </c>
      <c r="D79" s="50">
        <v>44359</v>
      </c>
      <c r="E79" s="51" t="s">
        <v>169</v>
      </c>
      <c r="F79" s="49" t="s">
        <v>70</v>
      </c>
      <c r="G79" s="49" t="s">
        <v>120</v>
      </c>
      <c r="H79" s="49" t="s">
        <v>61</v>
      </c>
      <c r="I79" s="49" t="s">
        <v>314</v>
      </c>
      <c r="J79" s="49" t="s">
        <v>343</v>
      </c>
      <c r="K79" s="49" t="s">
        <v>59</v>
      </c>
      <c r="L79" s="49" t="s">
        <v>61</v>
      </c>
      <c r="M79" s="88">
        <v>45467</v>
      </c>
      <c r="N79" s="49" t="s">
        <v>392</v>
      </c>
      <c r="O79" s="49" t="s">
        <v>393</v>
      </c>
      <c r="P79" s="50"/>
      <c r="Q79" s="52" t="s">
        <v>394</v>
      </c>
      <c r="R79" s="36"/>
      <c r="S79" s="47" t="s">
        <v>149</v>
      </c>
    </row>
    <row r="80" spans="1:19" s="47" customFormat="1" ht="12" x14ac:dyDescent="0.2">
      <c r="A80" s="104">
        <v>426</v>
      </c>
      <c r="B80" s="48" t="s">
        <v>395</v>
      </c>
      <c r="C80" s="49" t="s">
        <v>396</v>
      </c>
      <c r="D80" s="50">
        <v>44361</v>
      </c>
      <c r="E80" s="51" t="s">
        <v>397</v>
      </c>
      <c r="F80" s="49" t="s">
        <v>1770</v>
      </c>
      <c r="G80" s="49" t="s">
        <v>1780</v>
      </c>
      <c r="H80" s="49" t="s">
        <v>61</v>
      </c>
      <c r="I80" s="49" t="s">
        <v>174</v>
      </c>
      <c r="J80" s="49" t="s">
        <v>419</v>
      </c>
      <c r="K80" s="49" t="s">
        <v>61</v>
      </c>
      <c r="L80" s="49"/>
      <c r="M80" s="50"/>
      <c r="N80" s="49"/>
      <c r="O80" s="49"/>
      <c r="P80" s="50"/>
      <c r="Q80" s="52"/>
      <c r="R80" s="36"/>
      <c r="S80" s="47" t="s">
        <v>149</v>
      </c>
    </row>
    <row r="81" spans="1:19" s="47" customFormat="1" ht="12" x14ac:dyDescent="0.2">
      <c r="A81" s="104">
        <v>428</v>
      </c>
      <c r="B81" s="48" t="s">
        <v>398</v>
      </c>
      <c r="C81" s="49" t="s">
        <v>399</v>
      </c>
      <c r="D81" s="50">
        <v>44361</v>
      </c>
      <c r="E81" s="51" t="s">
        <v>318</v>
      </c>
      <c r="F81" s="49" t="s">
        <v>70</v>
      </c>
      <c r="G81" s="49" t="s">
        <v>122</v>
      </c>
      <c r="H81" s="49" t="s">
        <v>61</v>
      </c>
      <c r="I81" s="49" t="s">
        <v>400</v>
      </c>
      <c r="J81" s="49" t="s">
        <v>175</v>
      </c>
      <c r="K81" s="49" t="s">
        <v>61</v>
      </c>
      <c r="L81" s="49"/>
      <c r="M81" s="50"/>
      <c r="N81" s="49"/>
      <c r="O81" s="49" t="s">
        <v>175</v>
      </c>
      <c r="P81" s="50"/>
      <c r="Q81" s="52" t="s">
        <v>1702</v>
      </c>
      <c r="R81" s="36"/>
      <c r="S81" s="47" t="s">
        <v>149</v>
      </c>
    </row>
    <row r="82" spans="1:19" s="47" customFormat="1" ht="12" x14ac:dyDescent="0.2">
      <c r="A82" s="104">
        <v>439</v>
      </c>
      <c r="B82" s="48" t="s">
        <v>401</v>
      </c>
      <c r="C82" s="49" t="s">
        <v>402</v>
      </c>
      <c r="D82" s="50">
        <v>44391</v>
      </c>
      <c r="E82" s="51" t="s">
        <v>594</v>
      </c>
      <c r="F82" s="49" t="s">
        <v>70</v>
      </c>
      <c r="G82" s="49" t="s">
        <v>118</v>
      </c>
      <c r="H82" s="49" t="s">
        <v>61</v>
      </c>
      <c r="I82" s="49" t="s">
        <v>174</v>
      </c>
      <c r="J82" s="49" t="s">
        <v>175</v>
      </c>
      <c r="K82" s="49" t="s">
        <v>59</v>
      </c>
      <c r="L82" s="49" t="s">
        <v>61</v>
      </c>
      <c r="M82" s="50">
        <v>45480</v>
      </c>
      <c r="N82" s="49" t="s">
        <v>404</v>
      </c>
      <c r="O82" s="49" t="s">
        <v>175</v>
      </c>
      <c r="P82" s="50"/>
      <c r="Q82" s="52" t="s">
        <v>1673</v>
      </c>
      <c r="R82" s="36"/>
      <c r="S82" s="47" t="s">
        <v>149</v>
      </c>
    </row>
    <row r="83" spans="1:19" s="47" customFormat="1" ht="12" x14ac:dyDescent="0.2">
      <c r="A83" s="104">
        <v>396</v>
      </c>
      <c r="B83" s="48" t="s">
        <v>405</v>
      </c>
      <c r="C83" s="49" t="s">
        <v>406</v>
      </c>
      <c r="D83" s="50">
        <v>44411</v>
      </c>
      <c r="E83" s="51" t="s">
        <v>169</v>
      </c>
      <c r="F83" s="49" t="s">
        <v>70</v>
      </c>
      <c r="G83" s="49" t="s">
        <v>322</v>
      </c>
      <c r="H83" s="49" t="s">
        <v>46</v>
      </c>
      <c r="I83" s="49" t="s">
        <v>407</v>
      </c>
      <c r="J83" s="49" t="s">
        <v>294</v>
      </c>
      <c r="K83" s="49" t="s">
        <v>46</v>
      </c>
      <c r="L83" s="49"/>
      <c r="M83" s="50"/>
      <c r="N83" s="49"/>
      <c r="O83" s="49"/>
      <c r="P83" s="50"/>
      <c r="Q83" s="52"/>
      <c r="R83" s="36"/>
      <c r="S83" s="47" t="s">
        <v>149</v>
      </c>
    </row>
    <row r="84" spans="1:19" s="47" customFormat="1" x14ac:dyDescent="0.2">
      <c r="A84" s="104">
        <v>447</v>
      </c>
      <c r="B84" s="17" t="s">
        <v>408</v>
      </c>
      <c r="C84" s="6" t="s">
        <v>409</v>
      </c>
      <c r="D84" s="7">
        <v>44431</v>
      </c>
      <c r="E84" s="6" t="s">
        <v>274</v>
      </c>
      <c r="F84" s="49" t="s">
        <v>75</v>
      </c>
      <c r="G84" s="49" t="s">
        <v>275</v>
      </c>
      <c r="H84" s="49" t="s">
        <v>62</v>
      </c>
      <c r="I84" s="49"/>
      <c r="J84" s="49" t="s">
        <v>277</v>
      </c>
      <c r="K84" s="49"/>
      <c r="L84" s="49"/>
      <c r="M84" s="50"/>
      <c r="N84" s="49"/>
      <c r="O84" s="49"/>
      <c r="P84" s="50"/>
      <c r="Q84" s="52"/>
      <c r="R84" s="36"/>
      <c r="S84" s="2" t="s">
        <v>213</v>
      </c>
    </row>
    <row r="85" spans="1:19" s="47" customFormat="1" ht="12" x14ac:dyDescent="0.2">
      <c r="A85" s="104">
        <v>390</v>
      </c>
      <c r="B85" s="48" t="s">
        <v>410</v>
      </c>
      <c r="C85" s="49" t="s">
        <v>411</v>
      </c>
      <c r="D85" s="50">
        <v>44441</v>
      </c>
      <c r="E85" s="51" t="s">
        <v>412</v>
      </c>
      <c r="F85" s="49" t="s">
        <v>70</v>
      </c>
      <c r="G85" s="49" t="s">
        <v>121</v>
      </c>
      <c r="H85" s="49" t="s">
        <v>60</v>
      </c>
      <c r="I85" s="49" t="s">
        <v>147</v>
      </c>
      <c r="J85" s="49" t="s">
        <v>60</v>
      </c>
      <c r="K85" s="49" t="s">
        <v>60</v>
      </c>
      <c r="L85" s="49"/>
      <c r="M85" s="50"/>
      <c r="N85" s="49"/>
      <c r="O85" s="49"/>
      <c r="P85" s="50"/>
      <c r="Q85" s="52"/>
      <c r="R85" s="36"/>
      <c r="S85" s="47" t="s">
        <v>149</v>
      </c>
    </row>
    <row r="86" spans="1:19" s="47" customFormat="1" ht="12" x14ac:dyDescent="0.2">
      <c r="A86" s="104">
        <v>441</v>
      </c>
      <c r="B86" s="48" t="s">
        <v>413</v>
      </c>
      <c r="C86" s="49" t="s">
        <v>414</v>
      </c>
      <c r="D86" s="50">
        <v>44447</v>
      </c>
      <c r="E86" s="51" t="s">
        <v>181</v>
      </c>
      <c r="F86" s="49" t="s">
        <v>70</v>
      </c>
      <c r="G86" s="49" t="s">
        <v>120</v>
      </c>
      <c r="H86" s="49" t="s">
        <v>57</v>
      </c>
      <c r="I86" s="49" t="s">
        <v>162</v>
      </c>
      <c r="J86" s="49" t="s">
        <v>239</v>
      </c>
      <c r="K86" s="49" t="s">
        <v>57</v>
      </c>
      <c r="L86" s="49"/>
      <c r="M86" s="50"/>
      <c r="N86" s="49"/>
      <c r="O86" s="49"/>
      <c r="P86" s="50"/>
      <c r="Q86" s="52"/>
      <c r="R86" s="36"/>
      <c r="S86" s="47" t="s">
        <v>149</v>
      </c>
    </row>
    <row r="87" spans="1:19" s="47" customFormat="1" ht="12" x14ac:dyDescent="0.2">
      <c r="A87" s="104">
        <v>453</v>
      </c>
      <c r="B87" s="48" t="s">
        <v>416</v>
      </c>
      <c r="C87" s="49" t="s">
        <v>417</v>
      </c>
      <c r="D87" s="50">
        <v>44459</v>
      </c>
      <c r="E87" s="51" t="s">
        <v>418</v>
      </c>
      <c r="F87" s="49" t="s">
        <v>70</v>
      </c>
      <c r="G87" s="49" t="s">
        <v>55</v>
      </c>
      <c r="H87" s="49" t="s">
        <v>61</v>
      </c>
      <c r="I87" s="49" t="s">
        <v>1691</v>
      </c>
      <c r="J87" s="49" t="s">
        <v>419</v>
      </c>
      <c r="K87" s="49" t="s">
        <v>55</v>
      </c>
      <c r="L87" s="49"/>
      <c r="M87" s="50">
        <v>45495</v>
      </c>
      <c r="N87" s="49"/>
      <c r="O87" s="49"/>
      <c r="P87" s="50"/>
      <c r="Q87" s="52"/>
      <c r="R87" s="36"/>
      <c r="S87" s="47" t="s">
        <v>149</v>
      </c>
    </row>
    <row r="88" spans="1:19" s="47" customFormat="1" ht="12" x14ac:dyDescent="0.2">
      <c r="A88" s="104">
        <v>450</v>
      </c>
      <c r="B88" s="53" t="s">
        <v>420</v>
      </c>
      <c r="C88" s="54" t="s">
        <v>421</v>
      </c>
      <c r="D88" s="50">
        <v>44466</v>
      </c>
      <c r="E88" s="55" t="s">
        <v>422</v>
      </c>
      <c r="F88" s="49" t="s">
        <v>70</v>
      </c>
      <c r="G88" s="49" t="s">
        <v>118</v>
      </c>
      <c r="H88" s="49" t="s">
        <v>57</v>
      </c>
      <c r="I88" s="59" t="s">
        <v>1661</v>
      </c>
      <c r="J88" s="49" t="s">
        <v>72</v>
      </c>
      <c r="K88" s="49" t="s">
        <v>57</v>
      </c>
      <c r="L88" s="49"/>
      <c r="M88" s="50"/>
      <c r="N88" s="49"/>
      <c r="O88" s="49"/>
      <c r="P88" s="50"/>
      <c r="Q88" s="52" t="s">
        <v>1781</v>
      </c>
      <c r="R88" s="36"/>
      <c r="S88" s="47" t="s">
        <v>149</v>
      </c>
    </row>
    <row r="89" spans="1:19" s="47" customFormat="1" ht="12" x14ac:dyDescent="0.2">
      <c r="A89" s="104">
        <v>397</v>
      </c>
      <c r="B89" s="48" t="s">
        <v>424</v>
      </c>
      <c r="C89" s="49" t="s">
        <v>425</v>
      </c>
      <c r="D89" s="50">
        <v>44472</v>
      </c>
      <c r="E89" s="51" t="s">
        <v>426</v>
      </c>
      <c r="F89" s="49" t="s">
        <v>70</v>
      </c>
      <c r="G89" s="49" t="s">
        <v>338</v>
      </c>
      <c r="H89" s="49" t="s">
        <v>223</v>
      </c>
      <c r="I89" s="49" t="s">
        <v>288</v>
      </c>
      <c r="J89" s="49" t="s">
        <v>272</v>
      </c>
      <c r="K89" s="49" t="s">
        <v>223</v>
      </c>
      <c r="L89" s="49"/>
      <c r="M89" s="50"/>
      <c r="N89" s="49"/>
      <c r="O89" s="49"/>
      <c r="P89" s="50"/>
      <c r="Q89" s="52"/>
      <c r="R89" s="36"/>
      <c r="S89" s="47" t="s">
        <v>149</v>
      </c>
    </row>
    <row r="90" spans="1:19" s="47" customFormat="1" ht="12" x14ac:dyDescent="0.2">
      <c r="A90" s="104">
        <v>411</v>
      </c>
      <c r="B90" s="48" t="s">
        <v>427</v>
      </c>
      <c r="C90" s="48" t="s">
        <v>428</v>
      </c>
      <c r="D90" s="50">
        <v>44474</v>
      </c>
      <c r="E90" s="51" t="s">
        <v>313</v>
      </c>
      <c r="F90" s="49" t="s">
        <v>70</v>
      </c>
      <c r="G90" s="49" t="s">
        <v>120</v>
      </c>
      <c r="H90" s="49" t="s">
        <v>57</v>
      </c>
      <c r="I90" s="49" t="s">
        <v>231</v>
      </c>
      <c r="J90" s="49" t="s">
        <v>72</v>
      </c>
      <c r="K90" s="49" t="s">
        <v>57</v>
      </c>
      <c r="L90" s="49"/>
      <c r="M90" s="50"/>
      <c r="N90" s="49"/>
      <c r="O90" s="49"/>
      <c r="P90" s="50"/>
      <c r="Q90" s="52"/>
      <c r="R90" s="36"/>
      <c r="S90" s="47" t="s">
        <v>149</v>
      </c>
    </row>
    <row r="91" spans="1:19" s="47" customFormat="1" ht="12" x14ac:dyDescent="0.2">
      <c r="A91" s="104">
        <v>384</v>
      </c>
      <c r="B91" s="48" t="s">
        <v>429</v>
      </c>
      <c r="C91" s="49" t="s">
        <v>430</v>
      </c>
      <c r="D91" s="50">
        <v>44501</v>
      </c>
      <c r="E91" s="51" t="s">
        <v>313</v>
      </c>
      <c r="F91" s="49" t="s">
        <v>70</v>
      </c>
      <c r="G91" s="49" t="s">
        <v>120</v>
      </c>
      <c r="H91" s="49" t="s">
        <v>57</v>
      </c>
      <c r="I91" s="49" t="s">
        <v>231</v>
      </c>
      <c r="J91" s="49" t="s">
        <v>72</v>
      </c>
      <c r="K91" s="49" t="s">
        <v>57</v>
      </c>
      <c r="L91" s="49"/>
      <c r="M91" s="50"/>
      <c r="N91" s="49"/>
      <c r="O91" s="49"/>
      <c r="P91" s="50"/>
      <c r="Q91" s="52"/>
      <c r="R91" s="36"/>
      <c r="S91" s="47" t="s">
        <v>149</v>
      </c>
    </row>
    <row r="92" spans="1:19" s="47" customFormat="1" ht="12" x14ac:dyDescent="0.2">
      <c r="A92" s="104">
        <v>460</v>
      </c>
      <c r="B92" s="48" t="s">
        <v>433</v>
      </c>
      <c r="C92" s="49" t="s">
        <v>434</v>
      </c>
      <c r="D92" s="50">
        <v>44515</v>
      </c>
      <c r="E92" s="51" t="s">
        <v>318</v>
      </c>
      <c r="F92" s="49" t="s">
        <v>70</v>
      </c>
      <c r="G92" s="49" t="s">
        <v>122</v>
      </c>
      <c r="H92" s="49" t="s">
        <v>57</v>
      </c>
      <c r="I92" s="49" t="s">
        <v>263</v>
      </c>
      <c r="J92" s="49" t="s">
        <v>72</v>
      </c>
      <c r="K92" s="49" t="s">
        <v>57</v>
      </c>
      <c r="L92" s="49"/>
      <c r="M92" s="50"/>
      <c r="N92" s="49"/>
      <c r="O92" s="49"/>
      <c r="P92" s="50"/>
      <c r="Q92" s="52"/>
      <c r="R92" s="36"/>
      <c r="S92" s="47" t="s">
        <v>149</v>
      </c>
    </row>
    <row r="93" spans="1:19" s="47" customFormat="1" ht="12" x14ac:dyDescent="0.2">
      <c r="A93" s="104">
        <v>463</v>
      </c>
      <c r="B93" s="48" t="s">
        <v>435</v>
      </c>
      <c r="C93" s="49" t="s">
        <v>307</v>
      </c>
      <c r="D93" s="50">
        <v>44515</v>
      </c>
      <c r="E93" s="51" t="s">
        <v>169</v>
      </c>
      <c r="F93" s="49" t="s">
        <v>70</v>
      </c>
      <c r="G93" s="49" t="s">
        <v>120</v>
      </c>
      <c r="H93" s="49" t="s">
        <v>57</v>
      </c>
      <c r="I93" s="49" t="s">
        <v>162</v>
      </c>
      <c r="J93" s="49" t="s">
        <v>163</v>
      </c>
      <c r="K93" s="49" t="s">
        <v>57</v>
      </c>
      <c r="L93" s="49"/>
      <c r="M93" s="50"/>
      <c r="N93" s="49"/>
      <c r="O93" s="49"/>
      <c r="P93" s="50"/>
      <c r="Q93" s="52"/>
      <c r="R93" s="36"/>
      <c r="S93" s="47" t="s">
        <v>149</v>
      </c>
    </row>
    <row r="94" spans="1:19" s="47" customFormat="1" ht="12" x14ac:dyDescent="0.2">
      <c r="A94" s="104">
        <v>465</v>
      </c>
      <c r="B94" s="48" t="s">
        <v>436</v>
      </c>
      <c r="C94" s="49" t="s">
        <v>180</v>
      </c>
      <c r="D94" s="50">
        <v>44515</v>
      </c>
      <c r="E94" s="51" t="s">
        <v>372</v>
      </c>
      <c r="F94" s="49" t="s">
        <v>1770</v>
      </c>
      <c r="G94" s="49" t="s">
        <v>120</v>
      </c>
      <c r="H94" s="49" t="s">
        <v>57</v>
      </c>
      <c r="I94" s="49" t="s">
        <v>162</v>
      </c>
      <c r="J94" s="49" t="s">
        <v>163</v>
      </c>
      <c r="K94" s="49" t="s">
        <v>57</v>
      </c>
      <c r="L94" s="49"/>
      <c r="M94" s="50"/>
      <c r="N94" s="49"/>
      <c r="O94" s="49"/>
      <c r="P94" s="50"/>
      <c r="Q94" s="52"/>
      <c r="R94" s="36"/>
      <c r="S94" s="47" t="s">
        <v>149</v>
      </c>
    </row>
    <row r="95" spans="1:19" s="47" customFormat="1" ht="12" x14ac:dyDescent="0.2">
      <c r="A95" s="104">
        <v>464</v>
      </c>
      <c r="B95" s="48" t="s">
        <v>171</v>
      </c>
      <c r="C95" s="49" t="s">
        <v>396</v>
      </c>
      <c r="D95" s="50">
        <v>44515</v>
      </c>
      <c r="E95" s="51" t="s">
        <v>372</v>
      </c>
      <c r="F95" s="49" t="s">
        <v>75</v>
      </c>
      <c r="G95" s="49" t="s">
        <v>120</v>
      </c>
      <c r="H95" s="49" t="s">
        <v>61</v>
      </c>
      <c r="I95" s="49" t="s">
        <v>314</v>
      </c>
      <c r="J95" s="49" t="s">
        <v>175</v>
      </c>
      <c r="K95" s="49" t="s">
        <v>61</v>
      </c>
      <c r="L95" s="49"/>
      <c r="M95" s="50"/>
      <c r="N95" s="49"/>
      <c r="O95" s="49"/>
      <c r="P95" s="50"/>
      <c r="Q95" s="52" t="s">
        <v>437</v>
      </c>
      <c r="R95" s="36"/>
      <c r="S95" s="47" t="s">
        <v>149</v>
      </c>
    </row>
    <row r="96" spans="1:19" s="47" customFormat="1" ht="12" x14ac:dyDescent="0.2">
      <c r="A96" s="104">
        <v>482</v>
      </c>
      <c r="B96" s="48" t="s">
        <v>438</v>
      </c>
      <c r="C96" s="49" t="s">
        <v>252</v>
      </c>
      <c r="D96" s="50">
        <v>44529</v>
      </c>
      <c r="E96" s="51" t="s">
        <v>206</v>
      </c>
      <c r="F96" s="49" t="s">
        <v>70</v>
      </c>
      <c r="G96" s="49" t="s">
        <v>322</v>
      </c>
      <c r="H96" s="49" t="s">
        <v>46</v>
      </c>
      <c r="I96" s="49" t="s">
        <v>207</v>
      </c>
      <c r="J96" s="49" t="s">
        <v>158</v>
      </c>
      <c r="K96" s="49" t="s">
        <v>46</v>
      </c>
      <c r="L96" s="49"/>
      <c r="M96" s="50"/>
      <c r="N96" s="49"/>
      <c r="O96" s="49"/>
      <c r="P96" s="50"/>
      <c r="Q96" s="52"/>
      <c r="R96" s="36"/>
      <c r="S96" s="47" t="s">
        <v>149</v>
      </c>
    </row>
    <row r="97" spans="1:19" s="47" customFormat="1" ht="12" x14ac:dyDescent="0.2">
      <c r="A97" s="104">
        <v>404</v>
      </c>
      <c r="B97" s="48" t="s">
        <v>440</v>
      </c>
      <c r="C97" s="49" t="s">
        <v>441</v>
      </c>
      <c r="D97" s="50">
        <v>44534</v>
      </c>
      <c r="E97" s="51" t="s">
        <v>169</v>
      </c>
      <c r="F97" s="49" t="s">
        <v>1770</v>
      </c>
      <c r="G97" s="49" t="s">
        <v>120</v>
      </c>
      <c r="H97" s="49" t="s">
        <v>57</v>
      </c>
      <c r="I97" s="49" t="s">
        <v>231</v>
      </c>
      <c r="J97" s="49" t="s">
        <v>72</v>
      </c>
      <c r="K97" s="49" t="s">
        <v>57</v>
      </c>
      <c r="L97" s="49"/>
      <c r="M97" s="50"/>
      <c r="N97" s="49"/>
      <c r="O97" s="49"/>
      <c r="P97" s="50"/>
      <c r="Q97" s="52" t="s">
        <v>442</v>
      </c>
      <c r="R97" s="36"/>
      <c r="S97" s="47" t="s">
        <v>149</v>
      </c>
    </row>
    <row r="98" spans="1:19" s="47" customFormat="1" ht="12" x14ac:dyDescent="0.2">
      <c r="A98" s="104">
        <v>487</v>
      </c>
      <c r="B98" s="48" t="s">
        <v>443</v>
      </c>
      <c r="C98" s="49" t="s">
        <v>444</v>
      </c>
      <c r="D98" s="50">
        <v>44547</v>
      </c>
      <c r="E98" s="51" t="s">
        <v>445</v>
      </c>
      <c r="F98" s="49" t="s">
        <v>70</v>
      </c>
      <c r="G98" s="49" t="s">
        <v>322</v>
      </c>
      <c r="H98" s="49" t="s">
        <v>46</v>
      </c>
      <c r="I98" s="49" t="s">
        <v>187</v>
      </c>
      <c r="J98" s="49" t="s">
        <v>158</v>
      </c>
      <c r="K98" s="49" t="s">
        <v>46</v>
      </c>
      <c r="L98" s="49"/>
      <c r="M98" s="50"/>
      <c r="N98" s="49"/>
      <c r="O98" s="49"/>
      <c r="P98" s="50"/>
      <c r="Q98" s="52"/>
      <c r="R98" s="36"/>
      <c r="S98" s="47" t="s">
        <v>149</v>
      </c>
    </row>
    <row r="99" spans="1:19" s="47" customFormat="1" ht="12" x14ac:dyDescent="0.2">
      <c r="A99" s="104">
        <v>473</v>
      </c>
      <c r="B99" s="48" t="s">
        <v>446</v>
      </c>
      <c r="C99" s="49" t="s">
        <v>447</v>
      </c>
      <c r="D99" s="50">
        <v>44578</v>
      </c>
      <c r="E99" s="51" t="s">
        <v>206</v>
      </c>
      <c r="F99" s="49" t="s">
        <v>1770</v>
      </c>
      <c r="G99" s="49" t="s">
        <v>122</v>
      </c>
      <c r="H99" s="49" t="s">
        <v>57</v>
      </c>
      <c r="I99" s="49" t="s">
        <v>162</v>
      </c>
      <c r="J99" s="49" t="s">
        <v>239</v>
      </c>
      <c r="K99" s="49" t="s">
        <v>57</v>
      </c>
      <c r="L99" s="49"/>
      <c r="M99" s="50"/>
      <c r="N99" s="49"/>
      <c r="O99" s="49"/>
      <c r="P99" s="50"/>
      <c r="Q99" s="52"/>
      <c r="R99" s="36"/>
      <c r="S99" s="47" t="s">
        <v>149</v>
      </c>
    </row>
    <row r="100" spans="1:19" s="47" customFormat="1" ht="12" x14ac:dyDescent="0.2">
      <c r="A100" s="104">
        <v>497</v>
      </c>
      <c r="B100" s="48" t="s">
        <v>451</v>
      </c>
      <c r="C100" s="49" t="s">
        <v>452</v>
      </c>
      <c r="D100" s="50">
        <v>44635</v>
      </c>
      <c r="E100" s="51" t="s">
        <v>453</v>
      </c>
      <c r="F100" s="49" t="s">
        <v>1770</v>
      </c>
      <c r="G100" s="49" t="s">
        <v>296</v>
      </c>
      <c r="H100" s="49" t="s">
        <v>59</v>
      </c>
      <c r="I100" s="49" t="s">
        <v>194</v>
      </c>
      <c r="J100" s="49" t="s">
        <v>297</v>
      </c>
      <c r="K100" s="49" t="s">
        <v>59</v>
      </c>
      <c r="L100" s="49"/>
      <c r="M100" s="50"/>
      <c r="N100" s="49"/>
      <c r="O100" s="49"/>
      <c r="P100" s="50"/>
      <c r="Q100" s="52" t="s">
        <v>1782</v>
      </c>
      <c r="R100" s="36"/>
      <c r="S100" s="47" t="s">
        <v>149</v>
      </c>
    </row>
    <row r="101" spans="1:19" s="47" customFormat="1" ht="12" x14ac:dyDescent="0.2">
      <c r="A101" s="104">
        <v>500</v>
      </c>
      <c r="B101" s="48" t="s">
        <v>171</v>
      </c>
      <c r="C101" s="49" t="s">
        <v>454</v>
      </c>
      <c r="D101" s="50">
        <v>44641</v>
      </c>
      <c r="E101" s="51" t="s">
        <v>455</v>
      </c>
      <c r="F101" s="49" t="s">
        <v>70</v>
      </c>
      <c r="G101" s="49" t="s">
        <v>388</v>
      </c>
      <c r="H101" s="49" t="s">
        <v>46</v>
      </c>
      <c r="I101" s="49" t="s">
        <v>157</v>
      </c>
      <c r="J101" s="49" t="s">
        <v>388</v>
      </c>
      <c r="K101" s="49" t="s">
        <v>46</v>
      </c>
      <c r="L101" s="49"/>
      <c r="M101" s="50"/>
      <c r="N101" s="49"/>
      <c r="O101" s="49"/>
      <c r="P101" s="50"/>
      <c r="Q101" s="52"/>
      <c r="R101" s="36"/>
      <c r="S101" s="47" t="s">
        <v>149</v>
      </c>
    </row>
    <row r="102" spans="1:19" s="47" customFormat="1" ht="12" x14ac:dyDescent="0.2">
      <c r="A102" s="104">
        <v>506</v>
      </c>
      <c r="B102" s="48" t="s">
        <v>456</v>
      </c>
      <c r="C102" s="49" t="s">
        <v>457</v>
      </c>
      <c r="D102" s="50">
        <v>44669</v>
      </c>
      <c r="E102" s="55" t="s">
        <v>458</v>
      </c>
      <c r="F102" s="49" t="s">
        <v>70</v>
      </c>
      <c r="G102" s="49" t="s">
        <v>467</v>
      </c>
      <c r="H102" s="49" t="s">
        <v>57</v>
      </c>
      <c r="I102" s="49" t="s">
        <v>238</v>
      </c>
      <c r="J102" s="49" t="s">
        <v>148</v>
      </c>
      <c r="K102" s="49" t="s">
        <v>57</v>
      </c>
      <c r="L102" s="49"/>
      <c r="M102" s="50"/>
      <c r="N102" s="49"/>
      <c r="O102" s="49"/>
      <c r="P102" s="50"/>
      <c r="Q102" s="52"/>
      <c r="R102" s="36"/>
      <c r="S102" s="47" t="s">
        <v>149</v>
      </c>
    </row>
    <row r="103" spans="1:19" s="47" customFormat="1" ht="12" x14ac:dyDescent="0.2">
      <c r="A103" s="104">
        <v>509</v>
      </c>
      <c r="B103" s="48" t="s">
        <v>459</v>
      </c>
      <c r="C103" s="49" t="s">
        <v>460</v>
      </c>
      <c r="D103" s="50">
        <v>44704</v>
      </c>
      <c r="E103" s="51" t="s">
        <v>1703</v>
      </c>
      <c r="F103" s="49" t="s">
        <v>70</v>
      </c>
      <c r="G103" s="49" t="s">
        <v>121</v>
      </c>
      <c r="H103" s="49" t="s">
        <v>46</v>
      </c>
      <c r="I103" s="49" t="s">
        <v>157</v>
      </c>
      <c r="J103" s="49" t="s">
        <v>462</v>
      </c>
      <c r="K103" s="49" t="s">
        <v>46</v>
      </c>
      <c r="L103" s="49"/>
      <c r="M103" s="50"/>
      <c r="N103" s="49"/>
      <c r="O103" s="49"/>
      <c r="P103" s="50"/>
      <c r="Q103" s="52"/>
      <c r="R103" s="36"/>
      <c r="S103" s="47" t="s">
        <v>149</v>
      </c>
    </row>
    <row r="104" spans="1:19" s="47" customFormat="1" ht="12" x14ac:dyDescent="0.2">
      <c r="A104" s="104">
        <v>513</v>
      </c>
      <c r="B104" s="48" t="s">
        <v>390</v>
      </c>
      <c r="C104" s="49" t="s">
        <v>463</v>
      </c>
      <c r="D104" s="50">
        <v>44718</v>
      </c>
      <c r="E104" s="51" t="s">
        <v>769</v>
      </c>
      <c r="F104" s="49" t="s">
        <v>70</v>
      </c>
      <c r="G104" s="49" t="s">
        <v>467</v>
      </c>
      <c r="H104" s="49" t="s">
        <v>61</v>
      </c>
      <c r="I104" s="49" t="s">
        <v>1674</v>
      </c>
      <c r="J104" s="49" t="s">
        <v>249</v>
      </c>
      <c r="K104" s="49" t="s">
        <v>61</v>
      </c>
      <c r="L104" s="49" t="s">
        <v>465</v>
      </c>
      <c r="M104" s="50">
        <v>45616</v>
      </c>
      <c r="N104" s="49" t="s">
        <v>466</v>
      </c>
      <c r="O104" s="49" t="s">
        <v>467</v>
      </c>
      <c r="P104" s="50"/>
      <c r="Q104" s="52" t="s">
        <v>468</v>
      </c>
      <c r="R104" s="36"/>
      <c r="S104" s="47" t="s">
        <v>149</v>
      </c>
    </row>
    <row r="105" spans="1:19" s="47" customFormat="1" ht="12" x14ac:dyDescent="0.2">
      <c r="A105" s="104">
        <v>515</v>
      </c>
      <c r="B105" s="48" t="s">
        <v>469</v>
      </c>
      <c r="C105" s="49" t="s">
        <v>470</v>
      </c>
      <c r="D105" s="50">
        <v>44725</v>
      </c>
      <c r="E105" s="51" t="s">
        <v>471</v>
      </c>
      <c r="F105" s="49" t="s">
        <v>70</v>
      </c>
      <c r="G105" s="49" t="s">
        <v>1768</v>
      </c>
      <c r="H105" s="49" t="s">
        <v>46</v>
      </c>
      <c r="I105" s="49" t="s">
        <v>187</v>
      </c>
      <c r="J105" s="49" t="s">
        <v>294</v>
      </c>
      <c r="K105" s="49" t="s">
        <v>46</v>
      </c>
      <c r="L105" s="49"/>
      <c r="M105" s="50"/>
      <c r="N105" s="49"/>
      <c r="O105" s="49"/>
      <c r="P105" s="50"/>
      <c r="Q105" s="52"/>
      <c r="R105" s="36"/>
      <c r="S105" s="47" t="s">
        <v>149</v>
      </c>
    </row>
    <row r="106" spans="1:19" s="47" customFormat="1" x14ac:dyDescent="0.2">
      <c r="A106" s="104">
        <v>518</v>
      </c>
      <c r="B106" s="17" t="s">
        <v>472</v>
      </c>
      <c r="C106" s="6" t="s">
        <v>473</v>
      </c>
      <c r="D106" s="7">
        <v>44729</v>
      </c>
      <c r="E106" s="6" t="s">
        <v>274</v>
      </c>
      <c r="F106" s="49" t="s">
        <v>75</v>
      </c>
      <c r="G106" s="49" t="s">
        <v>275</v>
      </c>
      <c r="H106" s="49" t="s">
        <v>62</v>
      </c>
      <c r="I106" s="177"/>
      <c r="J106" s="49" t="s">
        <v>277</v>
      </c>
      <c r="K106" s="49"/>
      <c r="L106" s="49"/>
      <c r="M106" s="50"/>
      <c r="N106" s="49"/>
      <c r="O106" s="49"/>
      <c r="P106" s="50"/>
      <c r="Q106" s="52"/>
      <c r="S106" s="2" t="s">
        <v>213</v>
      </c>
    </row>
    <row r="107" spans="1:19" s="47" customFormat="1" ht="12" x14ac:dyDescent="0.2">
      <c r="A107" s="104">
        <v>526</v>
      </c>
      <c r="B107" s="53" t="s">
        <v>478</v>
      </c>
      <c r="C107" s="54" t="s">
        <v>479</v>
      </c>
      <c r="D107" s="50">
        <v>44774</v>
      </c>
      <c r="E107" s="55" t="s">
        <v>480</v>
      </c>
      <c r="F107" s="49" t="s">
        <v>72</v>
      </c>
      <c r="G107" s="49" t="s">
        <v>123</v>
      </c>
      <c r="H107" s="49" t="s">
        <v>57</v>
      </c>
      <c r="I107" s="49" t="s">
        <v>481</v>
      </c>
      <c r="J107" s="49" t="s">
        <v>72</v>
      </c>
      <c r="K107" s="49" t="s">
        <v>57</v>
      </c>
      <c r="L107" s="49"/>
      <c r="M107" s="50"/>
      <c r="N107" s="49"/>
      <c r="O107" s="49"/>
      <c r="P107" s="50"/>
      <c r="Q107" s="52"/>
      <c r="R107" s="36"/>
      <c r="S107" s="47" t="s">
        <v>149</v>
      </c>
    </row>
    <row r="108" spans="1:19" s="47" customFormat="1" ht="12" x14ac:dyDescent="0.2">
      <c r="A108" s="104">
        <v>532</v>
      </c>
      <c r="B108" s="53" t="s">
        <v>482</v>
      </c>
      <c r="C108" s="54" t="s">
        <v>307</v>
      </c>
      <c r="D108" s="50">
        <v>44788</v>
      </c>
      <c r="E108" s="55" t="s">
        <v>1140</v>
      </c>
      <c r="F108" s="49" t="s">
        <v>70</v>
      </c>
      <c r="G108" s="49" t="s">
        <v>122</v>
      </c>
      <c r="H108" s="49" t="s">
        <v>61</v>
      </c>
      <c r="I108" s="49" t="s">
        <v>400</v>
      </c>
      <c r="J108" s="49" t="s">
        <v>343</v>
      </c>
      <c r="K108" s="49" t="s">
        <v>61</v>
      </c>
      <c r="L108" s="49"/>
      <c r="M108" s="50"/>
      <c r="N108" s="49"/>
      <c r="O108" s="49"/>
      <c r="P108" s="50"/>
      <c r="Q108" s="52"/>
      <c r="R108" s="36"/>
      <c r="S108" s="47" t="s">
        <v>149</v>
      </c>
    </row>
    <row r="109" spans="1:19" s="47" customFormat="1" ht="12" x14ac:dyDescent="0.2">
      <c r="A109" s="104">
        <v>534</v>
      </c>
      <c r="B109" s="48" t="s">
        <v>483</v>
      </c>
      <c r="C109" s="49" t="s">
        <v>484</v>
      </c>
      <c r="D109" s="50">
        <v>44790</v>
      </c>
      <c r="E109" s="51" t="s">
        <v>372</v>
      </c>
      <c r="F109" s="49" t="s">
        <v>70</v>
      </c>
      <c r="G109" s="49" t="s">
        <v>120</v>
      </c>
      <c r="H109" s="49" t="s">
        <v>61</v>
      </c>
      <c r="I109" s="49" t="s">
        <v>314</v>
      </c>
      <c r="J109" s="49" t="s">
        <v>249</v>
      </c>
      <c r="K109" s="49" t="s">
        <v>61</v>
      </c>
      <c r="L109" s="49"/>
      <c r="M109" s="50"/>
      <c r="N109" s="49"/>
      <c r="O109" s="49" t="s">
        <v>249</v>
      </c>
      <c r="P109" s="50"/>
      <c r="Q109" s="52"/>
      <c r="R109" s="36"/>
      <c r="S109" s="47" t="s">
        <v>149</v>
      </c>
    </row>
    <row r="110" spans="1:19" s="47" customFormat="1" ht="12" x14ac:dyDescent="0.2">
      <c r="A110" s="104">
        <v>542</v>
      </c>
      <c r="B110" s="53" t="s">
        <v>491</v>
      </c>
      <c r="C110" s="54" t="s">
        <v>492</v>
      </c>
      <c r="D110" s="50">
        <v>44816</v>
      </c>
      <c r="E110" s="55" t="s">
        <v>372</v>
      </c>
      <c r="F110" s="49" t="s">
        <v>70</v>
      </c>
      <c r="G110" s="49" t="s">
        <v>120</v>
      </c>
      <c r="H110" s="49" t="s">
        <v>57</v>
      </c>
      <c r="I110" s="49" t="s">
        <v>231</v>
      </c>
      <c r="J110" s="49" t="s">
        <v>72</v>
      </c>
      <c r="K110" s="49" t="s">
        <v>57</v>
      </c>
      <c r="L110" s="49"/>
      <c r="M110" s="50"/>
      <c r="N110" s="49"/>
      <c r="O110" s="49"/>
      <c r="P110" s="50"/>
      <c r="Q110" s="52" t="s">
        <v>1783</v>
      </c>
      <c r="R110" s="36"/>
      <c r="S110" s="47" t="s">
        <v>149</v>
      </c>
    </row>
    <row r="111" spans="1:19" s="47" customFormat="1" ht="12" x14ac:dyDescent="0.2">
      <c r="A111" s="104">
        <v>545</v>
      </c>
      <c r="B111" s="48" t="s">
        <v>493</v>
      </c>
      <c r="C111" s="49" t="s">
        <v>494</v>
      </c>
      <c r="D111" s="50">
        <v>44823</v>
      </c>
      <c r="E111" s="51" t="s">
        <v>173</v>
      </c>
      <c r="F111" s="49" t="s">
        <v>70</v>
      </c>
      <c r="G111" s="49" t="s">
        <v>347</v>
      </c>
      <c r="H111" s="49" t="s">
        <v>57</v>
      </c>
      <c r="I111" s="49" t="s">
        <v>238</v>
      </c>
      <c r="J111" s="49" t="s">
        <v>239</v>
      </c>
      <c r="K111" s="49" t="s">
        <v>57</v>
      </c>
      <c r="L111" s="49"/>
      <c r="M111" s="50"/>
      <c r="N111" s="49"/>
      <c r="O111" s="49"/>
      <c r="P111" s="50"/>
      <c r="Q111" s="52"/>
      <c r="R111" s="36"/>
      <c r="S111" s="47" t="s">
        <v>149</v>
      </c>
    </row>
    <row r="112" spans="1:19" s="47" customFormat="1" ht="12" x14ac:dyDescent="0.2">
      <c r="A112" s="104">
        <v>523</v>
      </c>
      <c r="B112" s="48" t="s">
        <v>495</v>
      </c>
      <c r="C112" s="49" t="s">
        <v>496</v>
      </c>
      <c r="D112" s="50">
        <v>44823</v>
      </c>
      <c r="E112" s="51" t="s">
        <v>1667</v>
      </c>
      <c r="F112" s="49" t="s">
        <v>70</v>
      </c>
      <c r="G112" s="49" t="s">
        <v>120</v>
      </c>
      <c r="H112" s="49" t="s">
        <v>61</v>
      </c>
      <c r="I112" s="49" t="s">
        <v>314</v>
      </c>
      <c r="J112" s="49" t="s">
        <v>175</v>
      </c>
      <c r="K112" s="49" t="s">
        <v>61</v>
      </c>
      <c r="L112" s="49"/>
      <c r="M112" s="50"/>
      <c r="N112" s="49"/>
      <c r="O112" s="49"/>
      <c r="P112" s="50"/>
      <c r="Q112" s="52" t="s">
        <v>497</v>
      </c>
      <c r="R112" s="36"/>
      <c r="S112" s="47" t="s">
        <v>149</v>
      </c>
    </row>
    <row r="113" spans="1:19" s="47" customFormat="1" ht="12" x14ac:dyDescent="0.2">
      <c r="A113" s="104">
        <v>546</v>
      </c>
      <c r="B113" s="48" t="s">
        <v>498</v>
      </c>
      <c r="C113" s="49" t="s">
        <v>499</v>
      </c>
      <c r="D113" s="50">
        <v>44823</v>
      </c>
      <c r="E113" s="51" t="s">
        <v>464</v>
      </c>
      <c r="F113" s="49" t="s">
        <v>70</v>
      </c>
      <c r="G113" s="49" t="s">
        <v>347</v>
      </c>
      <c r="H113" s="49" t="s">
        <v>57</v>
      </c>
      <c r="I113" s="49" t="s">
        <v>423</v>
      </c>
      <c r="J113" s="49" t="s">
        <v>72</v>
      </c>
      <c r="K113" s="49" t="s">
        <v>57</v>
      </c>
      <c r="L113" s="49"/>
      <c r="M113" s="50"/>
      <c r="N113" s="49"/>
      <c r="O113" s="49"/>
      <c r="P113" s="50"/>
      <c r="Q113" s="52"/>
      <c r="R113" s="36"/>
      <c r="S113" s="47" t="s">
        <v>149</v>
      </c>
    </row>
    <row r="114" spans="1:19" s="47" customFormat="1" ht="12" x14ac:dyDescent="0.2">
      <c r="A114" s="104">
        <v>550</v>
      </c>
      <c r="B114" s="53" t="s">
        <v>506</v>
      </c>
      <c r="C114" s="54" t="s">
        <v>507</v>
      </c>
      <c r="D114" s="50">
        <v>44844</v>
      </c>
      <c r="E114" s="55" t="s">
        <v>508</v>
      </c>
      <c r="F114" s="49" t="s">
        <v>72</v>
      </c>
      <c r="G114" s="49" t="s">
        <v>118</v>
      </c>
      <c r="H114" s="49" t="s">
        <v>57</v>
      </c>
      <c r="I114" s="49" t="s">
        <v>423</v>
      </c>
      <c r="J114" s="49" t="s">
        <v>72</v>
      </c>
      <c r="K114" s="49" t="s">
        <v>57</v>
      </c>
      <c r="L114" s="49"/>
      <c r="M114" s="50"/>
      <c r="N114" s="49"/>
      <c r="O114" s="49"/>
      <c r="P114" s="50"/>
      <c r="Q114" s="52"/>
      <c r="R114" s="36"/>
      <c r="S114" s="47" t="s">
        <v>149</v>
      </c>
    </row>
    <row r="115" spans="1:19" s="47" customFormat="1" ht="12" x14ac:dyDescent="0.2">
      <c r="A115" s="104">
        <v>549</v>
      </c>
      <c r="B115" s="48" t="s">
        <v>503</v>
      </c>
      <c r="C115" s="49" t="s">
        <v>504</v>
      </c>
      <c r="D115" s="50">
        <v>44844</v>
      </c>
      <c r="E115" s="51" t="s">
        <v>505</v>
      </c>
      <c r="F115" s="49" t="s">
        <v>70</v>
      </c>
      <c r="G115" s="49" t="s">
        <v>121</v>
      </c>
      <c r="H115" s="49" t="s">
        <v>61</v>
      </c>
      <c r="I115" s="49" t="s">
        <v>1691</v>
      </c>
      <c r="J115" s="49" t="s">
        <v>419</v>
      </c>
      <c r="K115" s="49" t="s">
        <v>61</v>
      </c>
      <c r="L115" s="49"/>
      <c r="M115" s="50"/>
      <c r="N115" s="49"/>
      <c r="O115" s="49"/>
      <c r="P115" s="50"/>
      <c r="Q115" s="52"/>
      <c r="R115" s="36"/>
      <c r="S115" s="47" t="s">
        <v>149</v>
      </c>
    </row>
    <row r="116" spans="1:19" s="47" customFormat="1" ht="12" hidden="1" x14ac:dyDescent="0.2">
      <c r="A116" s="104">
        <v>563</v>
      </c>
      <c r="B116" s="48" t="s">
        <v>520</v>
      </c>
      <c r="C116" s="49" t="s">
        <v>521</v>
      </c>
      <c r="D116" s="50">
        <v>44879</v>
      </c>
      <c r="E116" s="51" t="s">
        <v>372</v>
      </c>
      <c r="F116" s="49" t="s">
        <v>70</v>
      </c>
      <c r="G116" s="49" t="s">
        <v>120</v>
      </c>
      <c r="H116" s="49" t="s">
        <v>57</v>
      </c>
      <c r="I116" s="49" t="s">
        <v>231</v>
      </c>
      <c r="J116" s="49" t="s">
        <v>72</v>
      </c>
      <c r="K116" s="49" t="s">
        <v>57</v>
      </c>
      <c r="L116" s="49"/>
      <c r="M116" s="50"/>
      <c r="N116" s="49"/>
      <c r="O116" s="49"/>
      <c r="P116" s="50"/>
      <c r="Q116" s="52"/>
      <c r="R116" s="138">
        <v>45667</v>
      </c>
      <c r="S116" s="47" t="s">
        <v>149</v>
      </c>
    </row>
    <row r="117" spans="1:19" s="47" customFormat="1" ht="12" x14ac:dyDescent="0.2">
      <c r="A117" s="104">
        <v>552</v>
      </c>
      <c r="B117" s="48" t="s">
        <v>509</v>
      </c>
      <c r="C117" s="49" t="s">
        <v>510</v>
      </c>
      <c r="D117" s="50">
        <v>44851</v>
      </c>
      <c r="E117" s="51" t="s">
        <v>511</v>
      </c>
      <c r="F117" s="49" t="s">
        <v>70</v>
      </c>
      <c r="G117" s="49" t="s">
        <v>106</v>
      </c>
      <c r="H117" s="49" t="s">
        <v>46</v>
      </c>
      <c r="I117" s="49" t="s">
        <v>512</v>
      </c>
      <c r="J117" s="49" t="s">
        <v>513</v>
      </c>
      <c r="K117" s="49" t="s">
        <v>46</v>
      </c>
      <c r="L117" s="49"/>
      <c r="M117" s="50"/>
      <c r="N117" s="49"/>
      <c r="O117" s="49"/>
      <c r="P117" s="50"/>
      <c r="Q117" s="52"/>
      <c r="R117" s="36"/>
      <c r="S117" s="47" t="s">
        <v>149</v>
      </c>
    </row>
    <row r="118" spans="1:19" s="47" customFormat="1" ht="12" x14ac:dyDescent="0.2">
      <c r="A118" s="104">
        <v>553</v>
      </c>
      <c r="B118" s="48" t="s">
        <v>514</v>
      </c>
      <c r="C118" s="49" t="s">
        <v>515</v>
      </c>
      <c r="D118" s="50">
        <v>44859</v>
      </c>
      <c r="E118" s="51" t="s">
        <v>169</v>
      </c>
      <c r="F118" s="49" t="s">
        <v>70</v>
      </c>
      <c r="G118" s="49" t="s">
        <v>322</v>
      </c>
      <c r="H118" s="49" t="s">
        <v>46</v>
      </c>
      <c r="I118" s="49" t="s">
        <v>407</v>
      </c>
      <c r="J118" s="49" t="s">
        <v>158</v>
      </c>
      <c r="K118" s="49" t="s">
        <v>46</v>
      </c>
      <c r="L118" s="49"/>
      <c r="M118" s="50"/>
      <c r="N118" s="49"/>
      <c r="O118" s="49"/>
      <c r="P118" s="50"/>
      <c r="Q118" s="52"/>
      <c r="R118" s="36"/>
      <c r="S118" s="47" t="s">
        <v>149</v>
      </c>
    </row>
    <row r="119" spans="1:19" s="47" customFormat="1" ht="12" x14ac:dyDescent="0.2">
      <c r="A119" s="104">
        <v>556</v>
      </c>
      <c r="B119" s="48" t="s">
        <v>525</v>
      </c>
      <c r="C119" s="49" t="s">
        <v>526</v>
      </c>
      <c r="D119" s="50">
        <v>44879</v>
      </c>
      <c r="E119" s="51" t="s">
        <v>372</v>
      </c>
      <c r="F119" s="49" t="s">
        <v>70</v>
      </c>
      <c r="G119" s="49" t="s">
        <v>120</v>
      </c>
      <c r="H119" s="49" t="s">
        <v>57</v>
      </c>
      <c r="I119" s="49" t="s">
        <v>231</v>
      </c>
      <c r="J119" s="49" t="s">
        <v>72</v>
      </c>
      <c r="K119" s="49" t="s">
        <v>57</v>
      </c>
      <c r="L119" s="49"/>
      <c r="M119" s="50"/>
      <c r="N119" s="49"/>
      <c r="O119" s="49"/>
      <c r="P119" s="50"/>
      <c r="Q119" s="52"/>
      <c r="R119" s="36"/>
      <c r="S119" s="47" t="s">
        <v>149</v>
      </c>
    </row>
    <row r="120" spans="1:19" s="47" customFormat="1" ht="12" x14ac:dyDescent="0.2">
      <c r="A120" s="104">
        <v>559</v>
      </c>
      <c r="B120" s="48" t="s">
        <v>527</v>
      </c>
      <c r="C120" s="49" t="s">
        <v>528</v>
      </c>
      <c r="D120" s="50">
        <v>44879</v>
      </c>
      <c r="E120" s="51" t="s">
        <v>529</v>
      </c>
      <c r="F120" s="49" t="s">
        <v>70</v>
      </c>
      <c r="G120" s="49" t="s">
        <v>106</v>
      </c>
      <c r="H120" s="49" t="s">
        <v>46</v>
      </c>
      <c r="I120" s="49" t="s">
        <v>512</v>
      </c>
      <c r="J120" s="49" t="s">
        <v>513</v>
      </c>
      <c r="K120" s="49" t="s">
        <v>46</v>
      </c>
      <c r="L120" s="49"/>
      <c r="M120" s="50"/>
      <c r="N120" s="49"/>
      <c r="O120" s="49"/>
      <c r="P120" s="50"/>
      <c r="Q120" s="52"/>
      <c r="R120" s="36"/>
      <c r="S120" s="47" t="s">
        <v>149</v>
      </c>
    </row>
    <row r="121" spans="1:19" s="47" customFormat="1" ht="12" x14ac:dyDescent="0.2">
      <c r="A121" s="104">
        <v>565</v>
      </c>
      <c r="B121" s="48" t="s">
        <v>522</v>
      </c>
      <c r="C121" s="49" t="s">
        <v>523</v>
      </c>
      <c r="D121" s="50">
        <v>44879</v>
      </c>
      <c r="E121" s="51" t="s">
        <v>1140</v>
      </c>
      <c r="F121" s="49" t="s">
        <v>70</v>
      </c>
      <c r="G121" s="49" t="s">
        <v>122</v>
      </c>
      <c r="H121" s="49" t="s">
        <v>61</v>
      </c>
      <c r="I121" s="49" t="s">
        <v>400</v>
      </c>
      <c r="J121" s="49" t="s">
        <v>343</v>
      </c>
      <c r="K121" s="49" t="s">
        <v>59</v>
      </c>
      <c r="L121" s="49" t="s">
        <v>61</v>
      </c>
      <c r="M121" s="50">
        <v>45467</v>
      </c>
      <c r="N121" s="49" t="s">
        <v>392</v>
      </c>
      <c r="O121" s="49" t="s">
        <v>175</v>
      </c>
      <c r="P121" s="50"/>
      <c r="Q121" s="52"/>
      <c r="R121" s="36"/>
      <c r="S121" s="47" t="s">
        <v>149</v>
      </c>
    </row>
    <row r="122" spans="1:19" s="47" customFormat="1" ht="12" x14ac:dyDescent="0.2">
      <c r="A122" s="104">
        <v>566</v>
      </c>
      <c r="B122" s="48" t="s">
        <v>530</v>
      </c>
      <c r="C122" s="49" t="s">
        <v>531</v>
      </c>
      <c r="D122" s="50">
        <v>44879</v>
      </c>
      <c r="E122" s="51" t="s">
        <v>318</v>
      </c>
      <c r="F122" s="49" t="s">
        <v>70</v>
      </c>
      <c r="G122" s="49" t="s">
        <v>122</v>
      </c>
      <c r="H122" s="49" t="s">
        <v>57</v>
      </c>
      <c r="I122" s="49" t="s">
        <v>263</v>
      </c>
      <c r="J122" s="49" t="s">
        <v>72</v>
      </c>
      <c r="K122" s="49" t="s">
        <v>57</v>
      </c>
      <c r="L122" s="49"/>
      <c r="M122" s="50"/>
      <c r="N122" s="49"/>
      <c r="O122" s="49"/>
      <c r="P122" s="50"/>
      <c r="Q122" s="52"/>
      <c r="R122" s="36"/>
      <c r="S122" s="47" t="s">
        <v>149</v>
      </c>
    </row>
    <row r="123" spans="1:19" s="47" customFormat="1" ht="12" x14ac:dyDescent="0.2">
      <c r="A123" s="104">
        <v>568</v>
      </c>
      <c r="B123" s="48" t="s">
        <v>532</v>
      </c>
      <c r="C123" s="49" t="s">
        <v>533</v>
      </c>
      <c r="D123" s="50">
        <v>44879</v>
      </c>
      <c r="E123" s="51" t="s">
        <v>318</v>
      </c>
      <c r="F123" s="49" t="s">
        <v>70</v>
      </c>
      <c r="G123" s="49" t="s">
        <v>106</v>
      </c>
      <c r="H123" s="49" t="s">
        <v>46</v>
      </c>
      <c r="I123" s="49" t="s">
        <v>512</v>
      </c>
      <c r="J123" s="49" t="s">
        <v>513</v>
      </c>
      <c r="K123" s="49" t="s">
        <v>46</v>
      </c>
      <c r="L123" s="49"/>
      <c r="M123" s="50"/>
      <c r="N123" s="49"/>
      <c r="O123" s="49"/>
      <c r="P123" s="50"/>
      <c r="Q123" s="52"/>
      <c r="R123" s="36"/>
      <c r="S123" s="47" t="s">
        <v>149</v>
      </c>
    </row>
    <row r="124" spans="1:19" s="47" customFormat="1" ht="12" x14ac:dyDescent="0.2">
      <c r="A124" s="104">
        <v>572</v>
      </c>
      <c r="B124" s="48" t="s">
        <v>534</v>
      </c>
      <c r="C124" s="49" t="s">
        <v>535</v>
      </c>
      <c r="D124" s="50">
        <v>44886</v>
      </c>
      <c r="E124" s="51" t="s">
        <v>206</v>
      </c>
      <c r="F124" s="49" t="s">
        <v>70</v>
      </c>
      <c r="G124" s="49" t="s">
        <v>122</v>
      </c>
      <c r="H124" s="49" t="s">
        <v>59</v>
      </c>
      <c r="I124" s="49" t="s">
        <v>536</v>
      </c>
      <c r="J124" s="49" t="s">
        <v>297</v>
      </c>
      <c r="K124" s="49" t="s">
        <v>59</v>
      </c>
      <c r="L124" s="49"/>
      <c r="M124" s="50"/>
      <c r="N124" s="49"/>
      <c r="O124" s="49"/>
      <c r="P124" s="50"/>
      <c r="Q124" s="52" t="s">
        <v>1784</v>
      </c>
      <c r="R124" s="36"/>
      <c r="S124" s="47" t="s">
        <v>149</v>
      </c>
    </row>
    <row r="125" spans="1:19" s="47" customFormat="1" ht="12" x14ac:dyDescent="0.2">
      <c r="A125" s="104">
        <v>573</v>
      </c>
      <c r="B125" s="48" t="s">
        <v>537</v>
      </c>
      <c r="C125" s="49" t="s">
        <v>396</v>
      </c>
      <c r="D125" s="50">
        <v>44890</v>
      </c>
      <c r="E125" s="51" t="s">
        <v>538</v>
      </c>
      <c r="F125" s="49" t="s">
        <v>70</v>
      </c>
      <c r="G125" s="49" t="s">
        <v>121</v>
      </c>
      <c r="H125" s="49" t="s">
        <v>57</v>
      </c>
      <c r="I125" s="49" t="s">
        <v>490</v>
      </c>
      <c r="J125" s="49" t="s">
        <v>148</v>
      </c>
      <c r="K125" s="49" t="s">
        <v>57</v>
      </c>
      <c r="L125" s="49"/>
      <c r="M125" s="50"/>
      <c r="N125" s="49"/>
      <c r="O125" s="49"/>
      <c r="P125" s="50"/>
      <c r="Q125" s="52"/>
      <c r="R125" s="36"/>
      <c r="S125" s="47" t="s">
        <v>149</v>
      </c>
    </row>
    <row r="126" spans="1:19" s="47" customFormat="1" ht="12" x14ac:dyDescent="0.2">
      <c r="A126" s="104">
        <v>592</v>
      </c>
      <c r="B126" s="48" t="s">
        <v>539</v>
      </c>
      <c r="C126" s="49" t="s">
        <v>540</v>
      </c>
      <c r="D126" s="50">
        <v>44929</v>
      </c>
      <c r="E126" s="51" t="s">
        <v>181</v>
      </c>
      <c r="F126" s="49" t="s">
        <v>70</v>
      </c>
      <c r="G126" s="49" t="s">
        <v>120</v>
      </c>
      <c r="H126" s="49" t="s">
        <v>57</v>
      </c>
      <c r="I126" s="49" t="s">
        <v>162</v>
      </c>
      <c r="J126" s="49" t="s">
        <v>239</v>
      </c>
      <c r="K126" s="49" t="s">
        <v>57</v>
      </c>
      <c r="L126" s="49"/>
      <c r="M126" s="50"/>
      <c r="N126" s="49"/>
      <c r="O126" s="49"/>
      <c r="P126" s="50"/>
      <c r="Q126" s="52"/>
      <c r="R126" s="36"/>
      <c r="S126" s="47" t="s">
        <v>149</v>
      </c>
    </row>
    <row r="127" spans="1:19" s="47" customFormat="1" ht="12" x14ac:dyDescent="0.2">
      <c r="A127" s="104">
        <v>580</v>
      </c>
      <c r="B127" s="48" t="s">
        <v>541</v>
      </c>
      <c r="C127" s="49" t="s">
        <v>542</v>
      </c>
      <c r="D127" s="50">
        <v>44942</v>
      </c>
      <c r="E127" s="51" t="s">
        <v>543</v>
      </c>
      <c r="F127" s="49" t="s">
        <v>70</v>
      </c>
      <c r="G127" s="49" t="s">
        <v>121</v>
      </c>
      <c r="H127" s="49" t="s">
        <v>61</v>
      </c>
      <c r="I127" s="49" t="s">
        <v>1691</v>
      </c>
      <c r="J127" s="49" t="s">
        <v>419</v>
      </c>
      <c r="K127" s="49" t="s">
        <v>61</v>
      </c>
      <c r="L127" s="49"/>
      <c r="M127" s="50"/>
      <c r="N127" s="49"/>
      <c r="O127" s="49"/>
      <c r="P127" s="50"/>
      <c r="Q127" s="52"/>
      <c r="R127" s="36"/>
      <c r="S127" s="47" t="s">
        <v>149</v>
      </c>
    </row>
    <row r="128" spans="1:19" s="47" customFormat="1" ht="12" x14ac:dyDescent="0.2">
      <c r="A128" s="104">
        <v>583</v>
      </c>
      <c r="B128" s="48" t="s">
        <v>544</v>
      </c>
      <c r="C128" s="49" t="s">
        <v>545</v>
      </c>
      <c r="D128" s="50">
        <v>44951</v>
      </c>
      <c r="E128" s="51" t="s">
        <v>169</v>
      </c>
      <c r="F128" s="49" t="s">
        <v>70</v>
      </c>
      <c r="G128" s="49" t="s">
        <v>120</v>
      </c>
      <c r="H128" s="49" t="s">
        <v>59</v>
      </c>
      <c r="I128" s="49" t="s">
        <v>546</v>
      </c>
      <c r="J128" s="49" t="s">
        <v>647</v>
      </c>
      <c r="K128" s="49" t="s">
        <v>59</v>
      </c>
      <c r="L128" s="49"/>
      <c r="M128" s="50"/>
      <c r="N128" s="49"/>
      <c r="O128" s="49"/>
      <c r="P128" s="50"/>
      <c r="Q128" s="52"/>
      <c r="R128" s="36"/>
      <c r="S128" s="47" t="s">
        <v>149</v>
      </c>
    </row>
    <row r="129" spans="1:19" s="47" customFormat="1" ht="12" x14ac:dyDescent="0.2">
      <c r="A129" s="104">
        <v>585</v>
      </c>
      <c r="B129" s="56" t="s">
        <v>547</v>
      </c>
      <c r="C129" s="57" t="s">
        <v>548</v>
      </c>
      <c r="D129" s="50">
        <v>44963</v>
      </c>
      <c r="E129" s="57" t="s">
        <v>206</v>
      </c>
      <c r="F129" s="49" t="s">
        <v>73</v>
      </c>
      <c r="G129" s="49" t="s">
        <v>122</v>
      </c>
      <c r="H129" s="49" t="s">
        <v>61</v>
      </c>
      <c r="I129" s="49" t="s">
        <v>400</v>
      </c>
      <c r="J129" s="49" t="s">
        <v>249</v>
      </c>
      <c r="K129" s="49" t="s">
        <v>59</v>
      </c>
      <c r="L129" s="49" t="s">
        <v>61</v>
      </c>
      <c r="M129" s="50">
        <v>45516</v>
      </c>
      <c r="N129" s="49" t="s">
        <v>549</v>
      </c>
      <c r="O129" s="49" t="s">
        <v>175</v>
      </c>
      <c r="P129" s="50"/>
      <c r="Q129" s="52"/>
      <c r="R129" s="36"/>
      <c r="S129" s="47" t="s">
        <v>149</v>
      </c>
    </row>
    <row r="130" spans="1:19" s="47" customFormat="1" ht="12" x14ac:dyDescent="0.2">
      <c r="A130" s="104">
        <v>587</v>
      </c>
      <c r="B130" s="53" t="s">
        <v>550</v>
      </c>
      <c r="C130" s="54" t="s">
        <v>551</v>
      </c>
      <c r="D130" s="50">
        <v>44963</v>
      </c>
      <c r="E130" s="55" t="s">
        <v>169</v>
      </c>
      <c r="F130" s="49" t="s">
        <v>73</v>
      </c>
      <c r="G130" s="49" t="s">
        <v>120</v>
      </c>
      <c r="H130" s="49" t="s">
        <v>61</v>
      </c>
      <c r="I130" s="49" t="s">
        <v>667</v>
      </c>
      <c r="J130" s="49" t="s">
        <v>175</v>
      </c>
      <c r="K130" s="49" t="s">
        <v>59</v>
      </c>
      <c r="L130" s="49" t="s">
        <v>61</v>
      </c>
      <c r="M130" s="50">
        <v>45516</v>
      </c>
      <c r="N130" s="49" t="s">
        <v>549</v>
      </c>
      <c r="O130" s="49" t="s">
        <v>175</v>
      </c>
      <c r="P130" s="50"/>
      <c r="Q130" s="52"/>
      <c r="R130" s="36"/>
      <c r="S130" s="47" t="s">
        <v>149</v>
      </c>
    </row>
    <row r="131" spans="1:19" s="47" customFormat="1" ht="12" x14ac:dyDescent="0.2">
      <c r="A131" s="104">
        <v>589</v>
      </c>
      <c r="B131" s="56" t="s">
        <v>553</v>
      </c>
      <c r="C131" s="57" t="s">
        <v>554</v>
      </c>
      <c r="D131" s="50">
        <v>44963</v>
      </c>
      <c r="E131" s="55" t="s">
        <v>372</v>
      </c>
      <c r="F131" s="49" t="s">
        <v>73</v>
      </c>
      <c r="G131" s="49" t="s">
        <v>120</v>
      </c>
      <c r="H131" s="100" t="s">
        <v>61</v>
      </c>
      <c r="I131" s="49" t="s">
        <v>667</v>
      </c>
      <c r="J131" s="49" t="s">
        <v>175</v>
      </c>
      <c r="K131" s="49" t="s">
        <v>59</v>
      </c>
      <c r="L131" s="49" t="s">
        <v>61</v>
      </c>
      <c r="M131" s="94">
        <v>45467</v>
      </c>
      <c r="N131" s="49" t="s">
        <v>549</v>
      </c>
      <c r="O131" s="49" t="s">
        <v>343</v>
      </c>
      <c r="P131" s="50"/>
      <c r="Q131" s="52" t="s">
        <v>1708</v>
      </c>
      <c r="R131" s="36"/>
      <c r="S131" s="47" t="s">
        <v>149</v>
      </c>
    </row>
    <row r="132" spans="1:19" s="47" customFormat="1" ht="12" x14ac:dyDescent="0.2">
      <c r="A132" s="104">
        <v>590</v>
      </c>
      <c r="B132" s="56" t="s">
        <v>555</v>
      </c>
      <c r="C132" s="57" t="s">
        <v>556</v>
      </c>
      <c r="D132" s="50">
        <v>44963</v>
      </c>
      <c r="E132" s="57" t="s">
        <v>169</v>
      </c>
      <c r="F132" s="49" t="s">
        <v>73</v>
      </c>
      <c r="G132" s="49" t="s">
        <v>120</v>
      </c>
      <c r="H132" s="49" t="s">
        <v>61</v>
      </c>
      <c r="I132" s="49" t="s">
        <v>667</v>
      </c>
      <c r="J132" s="49" t="s">
        <v>249</v>
      </c>
      <c r="K132" s="49" t="s">
        <v>59</v>
      </c>
      <c r="L132" s="49" t="s">
        <v>61</v>
      </c>
      <c r="M132" s="50">
        <v>45597</v>
      </c>
      <c r="N132" s="49" t="s">
        <v>549</v>
      </c>
      <c r="O132" s="49" t="s">
        <v>175</v>
      </c>
      <c r="P132" s="50">
        <v>45597</v>
      </c>
      <c r="Q132" s="52" t="s">
        <v>1785</v>
      </c>
      <c r="R132" s="36"/>
      <c r="S132" s="47" t="s">
        <v>149</v>
      </c>
    </row>
    <row r="133" spans="1:19" s="47" customFormat="1" ht="12" x14ac:dyDescent="0.2">
      <c r="A133" s="104">
        <v>591</v>
      </c>
      <c r="B133" s="53" t="s">
        <v>557</v>
      </c>
      <c r="C133" s="54" t="s">
        <v>558</v>
      </c>
      <c r="D133" s="50">
        <v>44963</v>
      </c>
      <c r="E133" s="55" t="s">
        <v>372</v>
      </c>
      <c r="F133" s="49" t="s">
        <v>73</v>
      </c>
      <c r="G133" s="49" t="s">
        <v>120</v>
      </c>
      <c r="H133" s="49" t="s">
        <v>61</v>
      </c>
      <c r="I133" s="49" t="s">
        <v>667</v>
      </c>
      <c r="J133" s="49" t="s">
        <v>249</v>
      </c>
      <c r="K133" s="49" t="s">
        <v>59</v>
      </c>
      <c r="L133" s="49" t="s">
        <v>61</v>
      </c>
      <c r="M133" s="50">
        <v>45516</v>
      </c>
      <c r="N133" s="49" t="s">
        <v>549</v>
      </c>
      <c r="O133" s="49" t="s">
        <v>175</v>
      </c>
      <c r="P133" s="50"/>
      <c r="Q133" s="52"/>
      <c r="R133" s="36"/>
      <c r="S133" s="47" t="s">
        <v>149</v>
      </c>
    </row>
    <row r="134" spans="1:19" s="47" customFormat="1" ht="12" x14ac:dyDescent="0.2">
      <c r="A134" s="104">
        <v>636</v>
      </c>
      <c r="B134" s="48" t="s">
        <v>559</v>
      </c>
      <c r="C134" s="49" t="s">
        <v>560</v>
      </c>
      <c r="D134" s="50">
        <v>44967</v>
      </c>
      <c r="E134" s="51" t="s">
        <v>1676</v>
      </c>
      <c r="F134" s="49" t="s">
        <v>70</v>
      </c>
      <c r="G134" s="49" t="s">
        <v>220</v>
      </c>
      <c r="H134" s="49" t="s">
        <v>223</v>
      </c>
      <c r="I134" s="49" t="s">
        <v>568</v>
      </c>
      <c r="J134" s="49" t="s">
        <v>222</v>
      </c>
      <c r="K134" s="49" t="s">
        <v>223</v>
      </c>
      <c r="L134" s="49"/>
      <c r="M134" s="50"/>
      <c r="N134" s="49"/>
      <c r="O134" s="49"/>
      <c r="P134" s="50"/>
      <c r="Q134" s="52"/>
      <c r="R134" s="36"/>
      <c r="S134" s="47" t="s">
        <v>149</v>
      </c>
    </row>
    <row r="135" spans="1:19" s="47" customFormat="1" ht="12" x14ac:dyDescent="0.2">
      <c r="A135" s="104">
        <v>661</v>
      </c>
      <c r="B135" s="48" t="s">
        <v>565</v>
      </c>
      <c r="C135" s="49" t="s">
        <v>566</v>
      </c>
      <c r="D135" s="50">
        <v>44968</v>
      </c>
      <c r="E135" s="51" t="s">
        <v>567</v>
      </c>
      <c r="F135" s="49" t="s">
        <v>70</v>
      </c>
      <c r="G135" s="49" t="s">
        <v>220</v>
      </c>
      <c r="H135" s="49" t="s">
        <v>223</v>
      </c>
      <c r="I135" s="49" t="s">
        <v>568</v>
      </c>
      <c r="J135" s="49" t="s">
        <v>222</v>
      </c>
      <c r="K135" s="49" t="s">
        <v>223</v>
      </c>
      <c r="L135" s="49"/>
      <c r="M135" s="50"/>
      <c r="N135" s="49"/>
      <c r="O135" s="49"/>
      <c r="P135" s="50"/>
      <c r="Q135" s="52"/>
      <c r="R135" s="36"/>
      <c r="S135" s="47" t="s">
        <v>149</v>
      </c>
    </row>
    <row r="136" spans="1:19" s="47" customFormat="1" ht="13.15" customHeight="1" x14ac:dyDescent="0.2">
      <c r="A136" s="104">
        <v>595</v>
      </c>
      <c r="B136" s="48" t="s">
        <v>573</v>
      </c>
      <c r="C136" s="49" t="s">
        <v>574</v>
      </c>
      <c r="D136" s="50">
        <v>44998</v>
      </c>
      <c r="E136" s="51" t="s">
        <v>206</v>
      </c>
      <c r="F136" s="49" t="s">
        <v>70</v>
      </c>
      <c r="G136" s="49" t="s">
        <v>122</v>
      </c>
      <c r="H136" s="49" t="s">
        <v>61</v>
      </c>
      <c r="I136" s="49" t="s">
        <v>400</v>
      </c>
      <c r="J136" s="49" t="s">
        <v>249</v>
      </c>
      <c r="K136" s="49" t="s">
        <v>61</v>
      </c>
      <c r="L136" s="49"/>
      <c r="M136" s="50"/>
      <c r="N136" s="49"/>
      <c r="O136" s="49"/>
      <c r="P136" s="50"/>
      <c r="Q136" s="52" t="s">
        <v>1786</v>
      </c>
      <c r="R136" s="36"/>
      <c r="S136" s="47" t="s">
        <v>149</v>
      </c>
    </row>
    <row r="137" spans="1:19" s="47" customFormat="1" ht="12" x14ac:dyDescent="0.2">
      <c r="A137" s="104">
        <v>597</v>
      </c>
      <c r="B137" s="53" t="s">
        <v>575</v>
      </c>
      <c r="C137" s="54" t="s">
        <v>576</v>
      </c>
      <c r="D137" s="50">
        <v>45027</v>
      </c>
      <c r="E137" s="55" t="s">
        <v>577</v>
      </c>
      <c r="F137" s="49" t="s">
        <v>73</v>
      </c>
      <c r="G137" s="49" t="s">
        <v>1787</v>
      </c>
      <c r="H137" s="49" t="s">
        <v>61</v>
      </c>
      <c r="I137" s="49" t="s">
        <v>667</v>
      </c>
      <c r="J137" s="49" t="s">
        <v>343</v>
      </c>
      <c r="K137" s="49" t="s">
        <v>61</v>
      </c>
      <c r="L137" s="49"/>
      <c r="M137" s="50"/>
      <c r="N137" s="49"/>
      <c r="O137" s="49"/>
      <c r="P137" s="50"/>
      <c r="Q137" s="52"/>
      <c r="R137" s="36"/>
      <c r="S137" s="47" t="s">
        <v>149</v>
      </c>
    </row>
    <row r="138" spans="1:19" s="47" customFormat="1" ht="12" x14ac:dyDescent="0.2">
      <c r="A138" s="104">
        <v>596</v>
      </c>
      <c r="B138" s="48" t="s">
        <v>578</v>
      </c>
      <c r="C138" s="49" t="s">
        <v>579</v>
      </c>
      <c r="D138" s="50">
        <v>45033</v>
      </c>
      <c r="E138" s="51" t="s">
        <v>580</v>
      </c>
      <c r="F138" s="49" t="s">
        <v>70</v>
      </c>
      <c r="G138" s="49" t="s">
        <v>581</v>
      </c>
      <c r="H138" s="49" t="s">
        <v>223</v>
      </c>
      <c r="I138" s="49" t="s">
        <v>582</v>
      </c>
      <c r="J138" s="49" t="s">
        <v>581</v>
      </c>
      <c r="K138" s="49" t="s">
        <v>223</v>
      </c>
      <c r="L138" s="49"/>
      <c r="M138" s="50"/>
      <c r="N138" s="49"/>
      <c r="O138" s="49"/>
      <c r="P138" s="50"/>
      <c r="Q138" s="52"/>
      <c r="R138" s="36"/>
      <c r="S138" s="47" t="s">
        <v>149</v>
      </c>
    </row>
    <row r="139" spans="1:19" s="47" customFormat="1" ht="12" x14ac:dyDescent="0.2">
      <c r="A139" s="104">
        <v>600</v>
      </c>
      <c r="B139" s="48" t="s">
        <v>583</v>
      </c>
      <c r="C139" s="49" t="s">
        <v>584</v>
      </c>
      <c r="D139" s="50">
        <v>45083</v>
      </c>
      <c r="E139" s="51" t="s">
        <v>1535</v>
      </c>
      <c r="F139" s="49" t="s">
        <v>70</v>
      </c>
      <c r="G139" s="49" t="s">
        <v>55</v>
      </c>
      <c r="H139" s="49" t="s">
        <v>55</v>
      </c>
      <c r="I139" s="49" t="s">
        <v>329</v>
      </c>
      <c r="J139" s="49" t="s">
        <v>55</v>
      </c>
      <c r="K139" s="49" t="s">
        <v>55</v>
      </c>
      <c r="L139" s="49"/>
      <c r="M139" s="50"/>
      <c r="N139" s="49"/>
      <c r="O139" s="49"/>
      <c r="P139" s="50"/>
      <c r="Q139" s="52"/>
      <c r="R139" s="36"/>
      <c r="S139" s="47" t="s">
        <v>149</v>
      </c>
    </row>
    <row r="140" spans="1:19" s="47" customFormat="1" ht="12" x14ac:dyDescent="0.2">
      <c r="A140" s="104">
        <v>613</v>
      </c>
      <c r="B140" s="48" t="s">
        <v>589</v>
      </c>
      <c r="C140" s="49" t="s">
        <v>590</v>
      </c>
      <c r="D140" s="50">
        <v>45115</v>
      </c>
      <c r="E140" s="51" t="s">
        <v>591</v>
      </c>
      <c r="F140" s="49" t="s">
        <v>70</v>
      </c>
      <c r="G140" s="49" t="s">
        <v>1787</v>
      </c>
      <c r="H140" s="49" t="s">
        <v>61</v>
      </c>
      <c r="I140" s="49" t="s">
        <v>314</v>
      </c>
      <c r="J140" s="49" t="s">
        <v>343</v>
      </c>
      <c r="K140" s="49" t="s">
        <v>61</v>
      </c>
      <c r="L140" s="49"/>
      <c r="M140" s="50"/>
      <c r="N140" s="49"/>
      <c r="O140" s="49"/>
      <c r="P140" s="50"/>
      <c r="Q140" s="52"/>
      <c r="R140" s="36"/>
      <c r="S140" s="47" t="s">
        <v>149</v>
      </c>
    </row>
    <row r="141" spans="1:19" s="47" customFormat="1" ht="12" x14ac:dyDescent="0.2">
      <c r="A141" s="104">
        <v>627</v>
      </c>
      <c r="B141" s="48" t="s">
        <v>586</v>
      </c>
      <c r="C141" s="49" t="s">
        <v>587</v>
      </c>
      <c r="D141" s="50">
        <v>45115</v>
      </c>
      <c r="E141" s="51" t="s">
        <v>588</v>
      </c>
      <c r="F141" s="49" t="s">
        <v>70</v>
      </c>
      <c r="G141" s="49" t="s">
        <v>388</v>
      </c>
      <c r="H141" s="49" t="s">
        <v>46</v>
      </c>
      <c r="I141" s="49" t="s">
        <v>387</v>
      </c>
      <c r="J141" s="49" t="s">
        <v>388</v>
      </c>
      <c r="K141" s="49" t="s">
        <v>46</v>
      </c>
      <c r="L141" s="49"/>
      <c r="M141" s="50"/>
      <c r="N141" s="49"/>
      <c r="O141" s="49"/>
      <c r="P141" s="50"/>
      <c r="Q141" s="52"/>
      <c r="R141" s="36"/>
      <c r="S141" s="47" t="s">
        <v>149</v>
      </c>
    </row>
    <row r="142" spans="1:19" s="47" customFormat="1" ht="12" x14ac:dyDescent="0.2">
      <c r="A142" s="104">
        <v>602</v>
      </c>
      <c r="B142" s="48" t="s">
        <v>596</v>
      </c>
      <c r="C142" s="49" t="s">
        <v>597</v>
      </c>
      <c r="D142" s="50">
        <v>45138</v>
      </c>
      <c r="E142" s="51" t="s">
        <v>1304</v>
      </c>
      <c r="F142" s="49" t="s">
        <v>70</v>
      </c>
      <c r="G142" s="49" t="s">
        <v>388</v>
      </c>
      <c r="H142" s="49" t="s">
        <v>46</v>
      </c>
      <c r="I142" s="49" t="s">
        <v>387</v>
      </c>
      <c r="J142" s="49" t="s">
        <v>388</v>
      </c>
      <c r="K142" s="49" t="s">
        <v>46</v>
      </c>
      <c r="L142" s="49"/>
      <c r="M142" s="50"/>
      <c r="N142" s="49"/>
      <c r="O142" s="49"/>
      <c r="P142" s="50"/>
      <c r="Q142" s="52"/>
      <c r="R142" s="36"/>
      <c r="S142" s="47" t="s">
        <v>149</v>
      </c>
    </row>
    <row r="143" spans="1:19" s="47" customFormat="1" ht="12" x14ac:dyDescent="0.2">
      <c r="A143" s="104">
        <v>612</v>
      </c>
      <c r="B143" s="48" t="s">
        <v>592</v>
      </c>
      <c r="C143" s="49" t="s">
        <v>593</v>
      </c>
      <c r="D143" s="50">
        <v>45138</v>
      </c>
      <c r="E143" s="51" t="s">
        <v>594</v>
      </c>
      <c r="F143" s="49" t="s">
        <v>70</v>
      </c>
      <c r="G143" s="49" t="s">
        <v>118</v>
      </c>
      <c r="H143" s="49" t="s">
        <v>57</v>
      </c>
      <c r="I143" s="49" t="s">
        <v>595</v>
      </c>
      <c r="J143" s="49" t="s">
        <v>239</v>
      </c>
      <c r="K143" s="49" t="s">
        <v>57</v>
      </c>
      <c r="L143" s="49"/>
      <c r="M143" s="50"/>
      <c r="N143" s="49"/>
      <c r="O143" s="49"/>
      <c r="P143" s="50"/>
      <c r="Q143" s="52"/>
      <c r="R143" s="36"/>
      <c r="S143" s="47" t="s">
        <v>149</v>
      </c>
    </row>
    <row r="144" spans="1:19" s="47" customFormat="1" ht="12" x14ac:dyDescent="0.2">
      <c r="A144" s="104">
        <v>628</v>
      </c>
      <c r="B144" s="48" t="s">
        <v>599</v>
      </c>
      <c r="C144" s="49" t="s">
        <v>600</v>
      </c>
      <c r="D144" s="50">
        <v>45152</v>
      </c>
      <c r="E144" s="51" t="s">
        <v>1033</v>
      </c>
      <c r="F144" s="49" t="s">
        <v>70</v>
      </c>
      <c r="G144" s="49" t="s">
        <v>347</v>
      </c>
      <c r="H144" s="49" t="s">
        <v>59</v>
      </c>
      <c r="I144" s="49" t="s">
        <v>194</v>
      </c>
      <c r="J144" s="49" t="s">
        <v>297</v>
      </c>
      <c r="K144" s="49" t="s">
        <v>59</v>
      </c>
      <c r="L144" s="49"/>
      <c r="M144" s="50"/>
      <c r="N144" s="49"/>
      <c r="O144" s="49"/>
      <c r="P144" s="50"/>
      <c r="Q144" s="52"/>
      <c r="R144" s="36"/>
      <c r="S144" s="47" t="s">
        <v>149</v>
      </c>
    </row>
    <row r="145" spans="1:19" s="47" customFormat="1" ht="12" x14ac:dyDescent="0.2">
      <c r="A145" s="104">
        <v>629</v>
      </c>
      <c r="B145" s="48" t="s">
        <v>601</v>
      </c>
      <c r="C145" s="49" t="s">
        <v>602</v>
      </c>
      <c r="D145" s="50">
        <v>45159</v>
      </c>
      <c r="E145" s="51" t="s">
        <v>169</v>
      </c>
      <c r="F145" s="49" t="s">
        <v>70</v>
      </c>
      <c r="G145" s="49" t="s">
        <v>120</v>
      </c>
      <c r="H145" s="49" t="s">
        <v>57</v>
      </c>
      <c r="I145" s="49" t="s">
        <v>231</v>
      </c>
      <c r="J145" s="49" t="s">
        <v>72</v>
      </c>
      <c r="K145" s="49" t="s">
        <v>57</v>
      </c>
      <c r="L145" s="49"/>
      <c r="M145" s="50"/>
      <c r="N145" s="49"/>
      <c r="O145" s="49"/>
      <c r="P145" s="50"/>
      <c r="Q145" s="52"/>
      <c r="R145" s="36"/>
      <c r="S145" s="47" t="s">
        <v>149</v>
      </c>
    </row>
    <row r="146" spans="1:19" s="47" customFormat="1" ht="12" x14ac:dyDescent="0.2">
      <c r="A146" s="104">
        <v>630</v>
      </c>
      <c r="B146" s="48" t="s">
        <v>607</v>
      </c>
      <c r="C146" s="49" t="s">
        <v>608</v>
      </c>
      <c r="D146" s="50">
        <v>45169</v>
      </c>
      <c r="E146" s="51" t="s">
        <v>609</v>
      </c>
      <c r="F146" s="49" t="s">
        <v>70</v>
      </c>
      <c r="G146" s="49" t="s">
        <v>227</v>
      </c>
      <c r="H146" s="49" t="s">
        <v>223</v>
      </c>
      <c r="I146" s="49" t="s">
        <v>221</v>
      </c>
      <c r="J146" s="49" t="s">
        <v>227</v>
      </c>
      <c r="K146" s="49" t="s">
        <v>223</v>
      </c>
      <c r="L146" s="49"/>
      <c r="M146" s="50"/>
      <c r="N146" s="49"/>
      <c r="O146" s="49"/>
      <c r="P146" s="50"/>
      <c r="Q146" s="52"/>
      <c r="R146" s="36"/>
      <c r="S146" s="47" t="s">
        <v>149</v>
      </c>
    </row>
    <row r="147" spans="1:19" s="47" customFormat="1" ht="12" x14ac:dyDescent="0.2">
      <c r="A147" s="104">
        <v>576</v>
      </c>
      <c r="B147" s="48" t="s">
        <v>610</v>
      </c>
      <c r="C147" s="49" t="s">
        <v>611</v>
      </c>
      <c r="D147" s="50">
        <v>45170</v>
      </c>
      <c r="E147" s="51" t="s">
        <v>206</v>
      </c>
      <c r="F147" s="49" t="s">
        <v>70</v>
      </c>
      <c r="G147" s="49" t="s">
        <v>122</v>
      </c>
      <c r="H147" s="49" t="s">
        <v>57</v>
      </c>
      <c r="I147" s="49" t="s">
        <v>162</v>
      </c>
      <c r="J147" s="49" t="s">
        <v>239</v>
      </c>
      <c r="K147" s="49" t="s">
        <v>57</v>
      </c>
      <c r="L147" s="49"/>
      <c r="M147" s="50"/>
      <c r="N147" s="49"/>
      <c r="O147" s="49"/>
      <c r="P147" s="50"/>
      <c r="Q147" s="52"/>
      <c r="R147" s="36"/>
      <c r="S147" s="47" t="s">
        <v>149</v>
      </c>
    </row>
    <row r="148" spans="1:19" s="47" customFormat="1" ht="12" x14ac:dyDescent="0.2">
      <c r="A148" s="104">
        <v>298</v>
      </c>
      <c r="B148" s="48" t="s">
        <v>491</v>
      </c>
      <c r="C148" s="49" t="s">
        <v>612</v>
      </c>
      <c r="D148" s="50">
        <v>45177</v>
      </c>
      <c r="E148" s="51" t="s">
        <v>613</v>
      </c>
      <c r="F148" s="49" t="s">
        <v>70</v>
      </c>
      <c r="G148" s="49" t="s">
        <v>119</v>
      </c>
      <c r="H148" s="49" t="s">
        <v>61</v>
      </c>
      <c r="I148" s="49" t="s">
        <v>1691</v>
      </c>
      <c r="J148" s="49" t="s">
        <v>343</v>
      </c>
      <c r="K148" s="49" t="s">
        <v>61</v>
      </c>
      <c r="L148" s="49" t="s">
        <v>61</v>
      </c>
      <c r="M148" s="50">
        <v>45467</v>
      </c>
      <c r="N148" s="49" t="s">
        <v>392</v>
      </c>
      <c r="O148" s="49" t="s">
        <v>175</v>
      </c>
      <c r="P148" s="50"/>
      <c r="Q148" s="52"/>
      <c r="R148" s="36"/>
      <c r="S148" s="47" t="s">
        <v>149</v>
      </c>
    </row>
    <row r="149" spans="1:19" s="47" customFormat="1" ht="12" x14ac:dyDescent="0.2">
      <c r="A149" s="104">
        <v>635</v>
      </c>
      <c r="B149" s="53" t="s">
        <v>614</v>
      </c>
      <c r="C149" s="54" t="s">
        <v>1551</v>
      </c>
      <c r="D149" s="50">
        <v>45187</v>
      </c>
      <c r="E149" s="55" t="s">
        <v>346</v>
      </c>
      <c r="F149" s="49" t="s">
        <v>72</v>
      </c>
      <c r="G149" s="49" t="s">
        <v>347</v>
      </c>
      <c r="H149" s="49" t="s">
        <v>57</v>
      </c>
      <c r="I149" s="49" t="s">
        <v>423</v>
      </c>
      <c r="J149" s="49" t="s">
        <v>72</v>
      </c>
      <c r="K149" s="49" t="s">
        <v>57</v>
      </c>
      <c r="L149" s="49"/>
      <c r="M149" s="50"/>
      <c r="N149" s="49"/>
      <c r="O149" s="49"/>
      <c r="P149" s="50"/>
      <c r="Q149" s="52"/>
      <c r="R149" s="36"/>
      <c r="S149" s="47" t="s">
        <v>149</v>
      </c>
    </row>
    <row r="150" spans="1:19" s="47" customFormat="1" ht="13.15" customHeight="1" x14ac:dyDescent="0.2">
      <c r="A150" s="104">
        <v>579</v>
      </c>
      <c r="B150" s="48" t="s">
        <v>618</v>
      </c>
      <c r="C150" s="49" t="s">
        <v>619</v>
      </c>
      <c r="D150" s="50">
        <v>45200</v>
      </c>
      <c r="E150" s="51" t="s">
        <v>206</v>
      </c>
      <c r="F150" s="49" t="s">
        <v>70</v>
      </c>
      <c r="G150" s="49" t="s">
        <v>122</v>
      </c>
      <c r="H150" s="49" t="s">
        <v>57</v>
      </c>
      <c r="I150" s="49" t="s">
        <v>162</v>
      </c>
      <c r="J150" s="49" t="s">
        <v>239</v>
      </c>
      <c r="K150" s="49" t="s">
        <v>57</v>
      </c>
      <c r="L150" s="49"/>
      <c r="M150" s="50"/>
      <c r="N150" s="49"/>
      <c r="O150" s="49"/>
      <c r="P150" s="50"/>
      <c r="Q150" s="52"/>
      <c r="R150" s="36"/>
      <c r="S150" s="47" t="s">
        <v>149</v>
      </c>
    </row>
    <row r="151" spans="1:19" s="47" customFormat="1" ht="12" x14ac:dyDescent="0.2">
      <c r="A151" s="104">
        <v>657</v>
      </c>
      <c r="B151" s="53" t="s">
        <v>621</v>
      </c>
      <c r="C151" s="54" t="s">
        <v>473</v>
      </c>
      <c r="D151" s="50">
        <v>45201</v>
      </c>
      <c r="E151" s="55" t="s">
        <v>622</v>
      </c>
      <c r="F151" s="49" t="s">
        <v>72</v>
      </c>
      <c r="G151" s="49" t="s">
        <v>467</v>
      </c>
      <c r="H151" s="49" t="s">
        <v>57</v>
      </c>
      <c r="I151" s="49" t="s">
        <v>481</v>
      </c>
      <c r="J151" s="49" t="s">
        <v>72</v>
      </c>
      <c r="K151" s="49" t="s">
        <v>57</v>
      </c>
      <c r="L151" s="49"/>
      <c r="M151" s="50"/>
      <c r="N151" s="49"/>
      <c r="O151" s="49"/>
      <c r="P151" s="50"/>
      <c r="Q151" s="52"/>
      <c r="R151" s="36"/>
      <c r="S151" s="47" t="s">
        <v>149</v>
      </c>
    </row>
    <row r="152" spans="1:19" s="47" customFormat="1" ht="12" x14ac:dyDescent="0.2">
      <c r="A152" s="104">
        <v>656</v>
      </c>
      <c r="B152" s="48" t="s">
        <v>623</v>
      </c>
      <c r="C152" s="49" t="s">
        <v>624</v>
      </c>
      <c r="D152" s="50">
        <v>45215</v>
      </c>
      <c r="E152" s="51" t="s">
        <v>386</v>
      </c>
      <c r="F152" s="49" t="s">
        <v>70</v>
      </c>
      <c r="G152" s="49" t="s">
        <v>347</v>
      </c>
      <c r="H152" s="49" t="s">
        <v>57</v>
      </c>
      <c r="I152" s="49" t="s">
        <v>1689</v>
      </c>
      <c r="J152" s="49" t="s">
        <v>239</v>
      </c>
      <c r="K152" s="49" t="s">
        <v>57</v>
      </c>
      <c r="L152" s="49"/>
      <c r="M152" s="50"/>
      <c r="N152" s="49"/>
      <c r="O152" s="49"/>
      <c r="P152" s="50"/>
      <c r="Q152" s="52" t="s">
        <v>1788</v>
      </c>
      <c r="R152" s="36"/>
      <c r="S152" s="47" t="s">
        <v>213</v>
      </c>
    </row>
    <row r="153" spans="1:19" s="47" customFormat="1" ht="12" x14ac:dyDescent="0.2">
      <c r="A153" s="104">
        <v>660</v>
      </c>
      <c r="B153" s="48" t="s">
        <v>626</v>
      </c>
      <c r="C153" s="49" t="s">
        <v>627</v>
      </c>
      <c r="D153" s="50">
        <v>45229</v>
      </c>
      <c r="E153" s="51" t="s">
        <v>1564</v>
      </c>
      <c r="F153" s="49" t="s">
        <v>70</v>
      </c>
      <c r="G153" s="49" t="s">
        <v>581</v>
      </c>
      <c r="H153" s="49" t="s">
        <v>223</v>
      </c>
      <c r="I153" s="49" t="s">
        <v>221</v>
      </c>
      <c r="J153" s="49" t="s">
        <v>581</v>
      </c>
      <c r="K153" s="49" t="s">
        <v>223</v>
      </c>
      <c r="L153" s="49"/>
      <c r="M153" s="50"/>
      <c r="N153" s="49"/>
      <c r="O153" s="49"/>
      <c r="P153" s="50"/>
      <c r="Q153" s="52"/>
      <c r="R153" s="36"/>
      <c r="S153" s="47" t="s">
        <v>149</v>
      </c>
    </row>
    <row r="154" spans="1:19" s="47" customFormat="1" ht="12" x14ac:dyDescent="0.2">
      <c r="A154" s="104">
        <v>659</v>
      </c>
      <c r="B154" s="48" t="s">
        <v>629</v>
      </c>
      <c r="C154" s="49" t="s">
        <v>630</v>
      </c>
      <c r="D154" s="50">
        <v>45231</v>
      </c>
      <c r="E154" s="51" t="s">
        <v>631</v>
      </c>
      <c r="F154" s="49" t="s">
        <v>70</v>
      </c>
      <c r="G154" s="49" t="s">
        <v>272</v>
      </c>
      <c r="H154" s="49" t="s">
        <v>223</v>
      </c>
      <c r="I154" s="49" t="s">
        <v>288</v>
      </c>
      <c r="J154" s="49" t="s">
        <v>272</v>
      </c>
      <c r="K154" s="49" t="s">
        <v>223</v>
      </c>
      <c r="L154" s="49"/>
      <c r="M154" s="50"/>
      <c r="N154" s="49"/>
      <c r="O154" s="49"/>
      <c r="P154" s="50"/>
      <c r="Q154" s="52"/>
      <c r="R154" s="36"/>
      <c r="S154" s="47" t="s">
        <v>149</v>
      </c>
    </row>
    <row r="155" spans="1:19" s="47" customFormat="1" ht="12" x14ac:dyDescent="0.2">
      <c r="A155" s="104">
        <v>662</v>
      </c>
      <c r="B155" s="48" t="s">
        <v>632</v>
      </c>
      <c r="C155" s="49" t="s">
        <v>633</v>
      </c>
      <c r="D155" s="50">
        <v>45236</v>
      </c>
      <c r="E155" s="51" t="s">
        <v>169</v>
      </c>
      <c r="F155" s="49" t="s">
        <v>70</v>
      </c>
      <c r="G155" s="49" t="s">
        <v>120</v>
      </c>
      <c r="H155" s="49" t="s">
        <v>57</v>
      </c>
      <c r="I155" s="49" t="s">
        <v>231</v>
      </c>
      <c r="J155" s="49" t="s">
        <v>72</v>
      </c>
      <c r="K155" s="49" t="s">
        <v>57</v>
      </c>
      <c r="L155" s="49"/>
      <c r="M155" s="50"/>
      <c r="N155" s="49"/>
      <c r="O155" s="49"/>
      <c r="P155" s="50"/>
      <c r="Q155" s="52"/>
      <c r="R155" s="36"/>
      <c r="S155" s="47" t="s">
        <v>149</v>
      </c>
    </row>
    <row r="156" spans="1:19" s="47" customFormat="1" ht="12" x14ac:dyDescent="0.2">
      <c r="A156" s="104">
        <v>647</v>
      </c>
      <c r="B156" s="48" t="s">
        <v>634</v>
      </c>
      <c r="C156" s="49" t="s">
        <v>463</v>
      </c>
      <c r="D156" s="50">
        <v>45253</v>
      </c>
      <c r="E156" s="51" t="s">
        <v>372</v>
      </c>
      <c r="F156" s="49" t="s">
        <v>70</v>
      </c>
      <c r="G156" s="49" t="s">
        <v>120</v>
      </c>
      <c r="H156" s="49" t="s">
        <v>61</v>
      </c>
      <c r="I156" s="49" t="s">
        <v>314</v>
      </c>
      <c r="J156" s="49" t="s">
        <v>175</v>
      </c>
      <c r="K156" s="49" t="s">
        <v>61</v>
      </c>
      <c r="L156" s="49"/>
      <c r="M156" s="50"/>
      <c r="N156" s="49"/>
      <c r="O156" s="49"/>
      <c r="P156" s="50"/>
      <c r="Q156" s="52"/>
      <c r="R156" s="138"/>
      <c r="S156" s="47" t="s">
        <v>149</v>
      </c>
    </row>
    <row r="157" spans="1:19" s="47" customFormat="1" ht="12" x14ac:dyDescent="0.2">
      <c r="A157" s="104">
        <v>675</v>
      </c>
      <c r="B157" s="48" t="s">
        <v>639</v>
      </c>
      <c r="C157" s="49" t="s">
        <v>640</v>
      </c>
      <c r="D157" s="50">
        <v>45295</v>
      </c>
      <c r="E157" s="51" t="s">
        <v>206</v>
      </c>
      <c r="F157" s="49" t="s">
        <v>70</v>
      </c>
      <c r="G157" s="49" t="s">
        <v>122</v>
      </c>
      <c r="H157" s="49" t="s">
        <v>57</v>
      </c>
      <c r="I157" s="49" t="s">
        <v>263</v>
      </c>
      <c r="J157" s="49" t="s">
        <v>72</v>
      </c>
      <c r="K157" s="49" t="s">
        <v>57</v>
      </c>
      <c r="L157" s="49"/>
      <c r="M157" s="50"/>
      <c r="N157" s="49"/>
      <c r="O157" s="49"/>
      <c r="P157" s="50"/>
      <c r="Q157" s="52"/>
      <c r="R157" s="36"/>
      <c r="S157" s="47" t="s">
        <v>149</v>
      </c>
    </row>
    <row r="158" spans="1:19" s="47" customFormat="1" ht="12" x14ac:dyDescent="0.2">
      <c r="A158" s="104">
        <v>670</v>
      </c>
      <c r="B158" s="48" t="s">
        <v>641</v>
      </c>
      <c r="C158" s="57" t="s">
        <v>642</v>
      </c>
      <c r="D158" s="50">
        <v>45306</v>
      </c>
      <c r="E158" s="57" t="s">
        <v>318</v>
      </c>
      <c r="F158" s="49" t="s">
        <v>73</v>
      </c>
      <c r="G158" s="49" t="s">
        <v>122</v>
      </c>
      <c r="H158" s="49" t="s">
        <v>61</v>
      </c>
      <c r="I158" s="49" t="s">
        <v>400</v>
      </c>
      <c r="J158" s="49" t="s">
        <v>249</v>
      </c>
      <c r="K158" s="49" t="s">
        <v>59</v>
      </c>
      <c r="L158" s="49" t="s">
        <v>61</v>
      </c>
      <c r="M158" s="50">
        <v>45516</v>
      </c>
      <c r="N158" s="49" t="s">
        <v>549</v>
      </c>
      <c r="O158" s="49" t="s">
        <v>175</v>
      </c>
      <c r="P158" s="50"/>
      <c r="Q158" s="52"/>
      <c r="R158" s="36"/>
      <c r="S158" s="47" t="s">
        <v>149</v>
      </c>
    </row>
    <row r="159" spans="1:19" s="47" customFormat="1" ht="12" x14ac:dyDescent="0.2">
      <c r="A159" s="104">
        <v>671</v>
      </c>
      <c r="B159" s="53" t="s">
        <v>643</v>
      </c>
      <c r="C159" s="54" t="s">
        <v>644</v>
      </c>
      <c r="D159" s="50">
        <v>45313</v>
      </c>
      <c r="E159" s="55" t="s">
        <v>645</v>
      </c>
      <c r="F159" s="49" t="s">
        <v>73</v>
      </c>
      <c r="G159" s="49" t="s">
        <v>347</v>
      </c>
      <c r="H159" s="49" t="s">
        <v>61</v>
      </c>
      <c r="I159" s="49" t="s">
        <v>1674</v>
      </c>
      <c r="J159" s="49" t="s">
        <v>343</v>
      </c>
      <c r="K159" s="49" t="s">
        <v>61</v>
      </c>
      <c r="L159" s="49"/>
      <c r="M159" s="50"/>
      <c r="N159" s="49"/>
      <c r="O159" s="49"/>
      <c r="P159" s="50"/>
      <c r="Q159" s="52"/>
      <c r="R159" s="36"/>
      <c r="S159" s="47" t="s">
        <v>149</v>
      </c>
    </row>
    <row r="160" spans="1:19" s="47" customFormat="1" ht="12" x14ac:dyDescent="0.2">
      <c r="A160" s="104">
        <v>672</v>
      </c>
      <c r="B160" s="53" t="s">
        <v>648</v>
      </c>
      <c r="C160" s="54" t="s">
        <v>649</v>
      </c>
      <c r="D160" s="50">
        <v>45334</v>
      </c>
      <c r="E160" s="55" t="s">
        <v>169</v>
      </c>
      <c r="F160" s="49" t="s">
        <v>72</v>
      </c>
      <c r="G160" s="49" t="s">
        <v>120</v>
      </c>
      <c r="H160" s="49" t="s">
        <v>57</v>
      </c>
      <c r="I160" s="49" t="s">
        <v>481</v>
      </c>
      <c r="J160" s="49" t="s">
        <v>72</v>
      </c>
      <c r="K160" s="49" t="s">
        <v>57</v>
      </c>
      <c r="L160" s="49"/>
      <c r="M160" s="50"/>
      <c r="N160" s="49"/>
      <c r="O160" s="49"/>
      <c r="P160" s="50"/>
      <c r="Q160" s="52"/>
      <c r="R160" s="36"/>
      <c r="S160" s="47" t="s">
        <v>149</v>
      </c>
    </row>
    <row r="161" spans="1:19" s="47" customFormat="1" ht="12" x14ac:dyDescent="0.2">
      <c r="A161" s="104">
        <v>676</v>
      </c>
      <c r="B161" s="48" t="s">
        <v>650</v>
      </c>
      <c r="C161" s="49" t="s">
        <v>651</v>
      </c>
      <c r="D161" s="50">
        <v>45363</v>
      </c>
      <c r="E161" s="51" t="s">
        <v>1692</v>
      </c>
      <c r="F161" s="49" t="s">
        <v>70</v>
      </c>
      <c r="G161" s="49" t="s">
        <v>338</v>
      </c>
      <c r="H161" s="49" t="s">
        <v>223</v>
      </c>
      <c r="I161" s="49" t="s">
        <v>288</v>
      </c>
      <c r="J161" s="49" t="s">
        <v>272</v>
      </c>
      <c r="K161" s="49" t="s">
        <v>223</v>
      </c>
      <c r="L161" s="49"/>
      <c r="M161" s="50"/>
      <c r="N161" s="49"/>
      <c r="O161" s="49"/>
      <c r="P161" s="50"/>
      <c r="Q161" s="52"/>
      <c r="R161" s="36"/>
      <c r="S161" s="47" t="s">
        <v>149</v>
      </c>
    </row>
    <row r="162" spans="1:19" s="47" customFormat="1" ht="12.75" customHeight="1" x14ac:dyDescent="0.2">
      <c r="A162" s="104">
        <v>522</v>
      </c>
      <c r="B162" s="48" t="s">
        <v>653</v>
      </c>
      <c r="C162" s="49" t="s">
        <v>654</v>
      </c>
      <c r="D162" s="50">
        <v>45365</v>
      </c>
      <c r="E162" s="51" t="s">
        <v>1033</v>
      </c>
      <c r="F162" s="49" t="s">
        <v>70</v>
      </c>
      <c r="G162" s="49" t="s">
        <v>347</v>
      </c>
      <c r="H162" s="49" t="s">
        <v>61</v>
      </c>
      <c r="I162" s="49" t="s">
        <v>174</v>
      </c>
      <c r="J162" s="49" t="s">
        <v>175</v>
      </c>
      <c r="K162" s="49" t="s">
        <v>61</v>
      </c>
      <c r="L162" s="49"/>
      <c r="M162" s="50"/>
      <c r="N162" s="49"/>
      <c r="O162" s="49"/>
      <c r="P162" s="50"/>
      <c r="Q162" s="52" t="s">
        <v>1675</v>
      </c>
      <c r="R162" s="36"/>
      <c r="S162" s="47" t="s">
        <v>149</v>
      </c>
    </row>
    <row r="163" spans="1:19" s="47" customFormat="1" ht="12" x14ac:dyDescent="0.2">
      <c r="A163" s="104">
        <v>678</v>
      </c>
      <c r="B163" s="48" t="s">
        <v>655</v>
      </c>
      <c r="C163" s="49" t="s">
        <v>656</v>
      </c>
      <c r="D163" s="50">
        <v>45376</v>
      </c>
      <c r="E163" s="51" t="s">
        <v>206</v>
      </c>
      <c r="F163" s="49" t="s">
        <v>70</v>
      </c>
      <c r="G163" s="49" t="s">
        <v>122</v>
      </c>
      <c r="H163" s="49" t="s">
        <v>61</v>
      </c>
      <c r="I163" s="49" t="s">
        <v>400</v>
      </c>
      <c r="J163" s="49" t="s">
        <v>175</v>
      </c>
      <c r="K163" s="49" t="s">
        <v>61</v>
      </c>
      <c r="L163" s="49"/>
      <c r="M163" s="50"/>
      <c r="N163" s="49"/>
      <c r="O163" s="49"/>
      <c r="P163" s="50"/>
      <c r="Q163" s="52"/>
      <c r="R163" s="36"/>
      <c r="S163" s="47" t="s">
        <v>149</v>
      </c>
    </row>
    <row r="164" spans="1:19" s="47" customFormat="1" ht="12" x14ac:dyDescent="0.2">
      <c r="A164" s="104">
        <v>684</v>
      </c>
      <c r="B164" s="48" t="s">
        <v>657</v>
      </c>
      <c r="C164" s="49" t="s">
        <v>658</v>
      </c>
      <c r="D164" s="50">
        <v>45384</v>
      </c>
      <c r="E164" s="51" t="s">
        <v>659</v>
      </c>
      <c r="F164" s="49" t="s">
        <v>70</v>
      </c>
      <c r="G164" s="49" t="s">
        <v>121</v>
      </c>
      <c r="H164" s="49" t="s">
        <v>60</v>
      </c>
      <c r="I164" s="49" t="s">
        <v>660</v>
      </c>
      <c r="J164" s="49" t="s">
        <v>60</v>
      </c>
      <c r="K164" s="49" t="s">
        <v>60</v>
      </c>
      <c r="L164" s="49"/>
      <c r="M164" s="50"/>
      <c r="N164" s="49"/>
      <c r="O164" s="49"/>
      <c r="P164" s="50"/>
      <c r="Q164" s="52"/>
      <c r="R164" s="36"/>
      <c r="S164" s="47" t="s">
        <v>149</v>
      </c>
    </row>
    <row r="165" spans="1:19" s="47" customFormat="1" ht="12" x14ac:dyDescent="0.2">
      <c r="A165" s="104">
        <v>674</v>
      </c>
      <c r="B165" s="48" t="s">
        <v>661</v>
      </c>
      <c r="C165" s="49" t="s">
        <v>662</v>
      </c>
      <c r="D165" s="50">
        <v>45385</v>
      </c>
      <c r="E165" s="51" t="s">
        <v>663</v>
      </c>
      <c r="F165" s="49" t="s">
        <v>70</v>
      </c>
      <c r="G165" s="49" t="s">
        <v>106</v>
      </c>
      <c r="H165" s="49" t="s">
        <v>46</v>
      </c>
      <c r="I165" s="49" t="s">
        <v>1654</v>
      </c>
      <c r="J165" s="49" t="s">
        <v>513</v>
      </c>
      <c r="K165" s="49" t="s">
        <v>46</v>
      </c>
      <c r="L165" s="49"/>
      <c r="M165" s="50"/>
      <c r="N165" s="49"/>
      <c r="O165" s="49"/>
      <c r="P165" s="50"/>
      <c r="Q165" s="52"/>
      <c r="R165" s="36"/>
      <c r="S165" s="47" t="s">
        <v>149</v>
      </c>
    </row>
    <row r="166" spans="1:19" s="47" customFormat="1" ht="12" x14ac:dyDescent="0.2">
      <c r="A166" s="104">
        <v>680</v>
      </c>
      <c r="B166" s="48" t="s">
        <v>664</v>
      </c>
      <c r="C166" s="49" t="s">
        <v>665</v>
      </c>
      <c r="D166" s="50">
        <v>45386</v>
      </c>
      <c r="E166" s="51" t="s">
        <v>169</v>
      </c>
      <c r="F166" s="49" t="s">
        <v>70</v>
      </c>
      <c r="G166" s="49" t="s">
        <v>120</v>
      </c>
      <c r="H166" s="49" t="s">
        <v>61</v>
      </c>
      <c r="I166" s="49" t="s">
        <v>314</v>
      </c>
      <c r="J166" s="49" t="s">
        <v>175</v>
      </c>
      <c r="K166" s="49" t="s">
        <v>61</v>
      </c>
      <c r="L166" s="49"/>
      <c r="M166" s="50"/>
      <c r="N166" s="49"/>
      <c r="O166" s="49"/>
      <c r="P166" s="50"/>
      <c r="Q166" s="52"/>
      <c r="R166" s="36"/>
      <c r="S166" s="47" t="s">
        <v>149</v>
      </c>
    </row>
    <row r="167" spans="1:19" s="47" customFormat="1" ht="12" x14ac:dyDescent="0.2">
      <c r="A167" s="104">
        <v>679</v>
      </c>
      <c r="B167" s="53" t="s">
        <v>669</v>
      </c>
      <c r="C167" s="54" t="s">
        <v>670</v>
      </c>
      <c r="D167" s="50">
        <v>45404</v>
      </c>
      <c r="E167" s="55" t="s">
        <v>169</v>
      </c>
      <c r="F167" s="49" t="s">
        <v>73</v>
      </c>
      <c r="G167" s="49" t="s">
        <v>120</v>
      </c>
      <c r="H167" s="49" t="s">
        <v>61</v>
      </c>
      <c r="I167" s="49" t="s">
        <v>667</v>
      </c>
      <c r="J167" s="49" t="s">
        <v>249</v>
      </c>
      <c r="K167" s="49" t="s">
        <v>61</v>
      </c>
      <c r="L167" s="49"/>
      <c r="M167" s="50"/>
      <c r="N167" s="49"/>
      <c r="O167" s="49" t="s">
        <v>249</v>
      </c>
      <c r="P167" s="50"/>
      <c r="Q167" s="52"/>
      <c r="R167" s="36"/>
      <c r="S167" s="47" t="s">
        <v>149</v>
      </c>
    </row>
    <row r="168" spans="1:19" s="47" customFormat="1" ht="12" x14ac:dyDescent="0.2">
      <c r="A168" s="104">
        <v>683</v>
      </c>
      <c r="B168" s="48" t="s">
        <v>671</v>
      </c>
      <c r="C168" s="49" t="s">
        <v>672</v>
      </c>
      <c r="D168" s="50">
        <v>45412</v>
      </c>
      <c r="E168" s="51" t="s">
        <v>673</v>
      </c>
      <c r="F168" s="49" t="s">
        <v>70</v>
      </c>
      <c r="G168" s="49" t="s">
        <v>106</v>
      </c>
      <c r="H168" s="49" t="s">
        <v>46</v>
      </c>
      <c r="I168" s="49" t="s">
        <v>1654</v>
      </c>
      <c r="J168" s="49" t="s">
        <v>366</v>
      </c>
      <c r="K168" s="49" t="s">
        <v>46</v>
      </c>
      <c r="L168" s="49"/>
      <c r="M168" s="50"/>
      <c r="N168" s="49"/>
      <c r="O168" s="49"/>
      <c r="P168" s="50"/>
      <c r="Q168" s="52"/>
      <c r="R168" s="36"/>
      <c r="S168" s="47" t="s">
        <v>149</v>
      </c>
    </row>
    <row r="169" spans="1:19" s="47" customFormat="1" ht="12" x14ac:dyDescent="0.2">
      <c r="A169" s="104">
        <v>685</v>
      </c>
      <c r="B169" s="48" t="s">
        <v>676</v>
      </c>
      <c r="C169" s="49" t="s">
        <v>677</v>
      </c>
      <c r="D169" s="50">
        <v>45425</v>
      </c>
      <c r="E169" s="51" t="s">
        <v>206</v>
      </c>
      <c r="F169" s="49" t="s">
        <v>72</v>
      </c>
      <c r="G169" s="49" t="s">
        <v>122</v>
      </c>
      <c r="H169" s="49" t="s">
        <v>57</v>
      </c>
      <c r="I169" s="49" t="s">
        <v>481</v>
      </c>
      <c r="J169" s="49" t="s">
        <v>72</v>
      </c>
      <c r="K169" s="49" t="s">
        <v>57</v>
      </c>
      <c r="L169" s="49"/>
      <c r="M169" s="50"/>
      <c r="N169" s="49"/>
      <c r="O169" s="49"/>
      <c r="P169" s="50"/>
      <c r="Q169" s="52"/>
      <c r="R169" s="36"/>
      <c r="S169" s="47" t="s">
        <v>149</v>
      </c>
    </row>
    <row r="170" spans="1:19" s="47" customFormat="1" ht="12" x14ac:dyDescent="0.2">
      <c r="A170" s="104">
        <v>688</v>
      </c>
      <c r="B170" s="53" t="s">
        <v>678</v>
      </c>
      <c r="C170" s="49" t="s">
        <v>679</v>
      </c>
      <c r="D170" s="50">
        <v>45425</v>
      </c>
      <c r="E170" s="51" t="s">
        <v>181</v>
      </c>
      <c r="F170" s="49" t="s">
        <v>70</v>
      </c>
      <c r="G170" s="49" t="s">
        <v>120</v>
      </c>
      <c r="H170" s="49" t="s">
        <v>59</v>
      </c>
      <c r="I170" s="49" t="s">
        <v>546</v>
      </c>
      <c r="J170" s="49" t="s">
        <v>297</v>
      </c>
      <c r="K170" s="49" t="s">
        <v>59</v>
      </c>
      <c r="L170" s="49"/>
      <c r="M170" s="50"/>
      <c r="N170" s="49"/>
      <c r="O170" s="49"/>
      <c r="P170" s="50"/>
      <c r="Q170" s="52"/>
      <c r="R170" s="36"/>
      <c r="S170" s="47" t="s">
        <v>149</v>
      </c>
    </row>
    <row r="171" spans="1:19" s="47" customFormat="1" ht="12" x14ac:dyDescent="0.2">
      <c r="A171" s="104">
        <v>686</v>
      </c>
      <c r="B171" s="48" t="s">
        <v>682</v>
      </c>
      <c r="C171" s="60" t="s">
        <v>683</v>
      </c>
      <c r="D171" s="50">
        <v>45439</v>
      </c>
      <c r="E171" s="60" t="s">
        <v>169</v>
      </c>
      <c r="F171" s="49" t="s">
        <v>70</v>
      </c>
      <c r="G171" s="49" t="s">
        <v>120</v>
      </c>
      <c r="H171" s="49" t="s">
        <v>59</v>
      </c>
      <c r="I171" s="49" t="s">
        <v>309</v>
      </c>
      <c r="J171" s="49" t="s">
        <v>297</v>
      </c>
      <c r="K171" s="49" t="s">
        <v>59</v>
      </c>
      <c r="L171" s="49"/>
      <c r="M171" s="50"/>
      <c r="N171" s="49"/>
      <c r="O171" s="49"/>
      <c r="P171" s="50"/>
      <c r="Q171" s="52" t="s">
        <v>1789</v>
      </c>
      <c r="R171" s="36"/>
      <c r="S171" s="47" t="s">
        <v>149</v>
      </c>
    </row>
    <row r="172" spans="1:19" s="47" customFormat="1" ht="12" x14ac:dyDescent="0.2">
      <c r="A172" s="104">
        <v>687</v>
      </c>
      <c r="B172" s="48" t="s">
        <v>680</v>
      </c>
      <c r="C172" s="49" t="s">
        <v>300</v>
      </c>
      <c r="D172" s="50">
        <v>45439</v>
      </c>
      <c r="E172" s="51" t="s">
        <v>681</v>
      </c>
      <c r="F172" s="49" t="s">
        <v>70</v>
      </c>
      <c r="G172" s="49" t="s">
        <v>120</v>
      </c>
      <c r="H172" s="49" t="s">
        <v>59</v>
      </c>
      <c r="I172" s="49" t="s">
        <v>194</v>
      </c>
      <c r="J172" s="49" t="s">
        <v>297</v>
      </c>
      <c r="K172" s="49" t="s">
        <v>59</v>
      </c>
      <c r="L172" s="49"/>
      <c r="M172" s="50"/>
      <c r="N172" s="49"/>
      <c r="O172" s="49"/>
      <c r="P172" s="50"/>
      <c r="Q172" s="52"/>
      <c r="R172" s="36"/>
      <c r="S172" s="47" t="s">
        <v>149</v>
      </c>
    </row>
    <row r="173" spans="1:19" s="47" customFormat="1" ht="12" x14ac:dyDescent="0.2">
      <c r="A173" s="104">
        <v>689</v>
      </c>
      <c r="B173" s="48" t="s">
        <v>685</v>
      </c>
      <c r="C173" s="49" t="s">
        <v>686</v>
      </c>
      <c r="D173" s="50">
        <v>45460</v>
      </c>
      <c r="E173" s="51" t="s">
        <v>206</v>
      </c>
      <c r="F173" s="49" t="s">
        <v>70</v>
      </c>
      <c r="G173" s="49" t="s">
        <v>122</v>
      </c>
      <c r="H173" s="49" t="s">
        <v>57</v>
      </c>
      <c r="I173" s="49" t="s">
        <v>263</v>
      </c>
      <c r="J173" s="49" t="s">
        <v>72</v>
      </c>
      <c r="K173" s="49"/>
      <c r="L173" s="49" t="s">
        <v>57</v>
      </c>
      <c r="M173" s="50">
        <v>45635</v>
      </c>
      <c r="N173" s="49"/>
      <c r="O173" s="49" t="s">
        <v>72</v>
      </c>
      <c r="P173" s="50"/>
      <c r="Q173" s="176" t="s">
        <v>1790</v>
      </c>
      <c r="R173" s="36"/>
      <c r="S173" s="47" t="s">
        <v>213</v>
      </c>
    </row>
    <row r="174" spans="1:19" s="47" customFormat="1" ht="12" x14ac:dyDescent="0.2">
      <c r="A174" s="104">
        <v>690</v>
      </c>
      <c r="B174" s="48" t="s">
        <v>687</v>
      </c>
      <c r="C174" s="49" t="s">
        <v>688</v>
      </c>
      <c r="D174" s="50">
        <v>45474</v>
      </c>
      <c r="E174" s="51" t="s">
        <v>594</v>
      </c>
      <c r="F174" s="49" t="s">
        <v>70</v>
      </c>
      <c r="G174" s="49" t="s">
        <v>118</v>
      </c>
      <c r="H174" s="49" t="s">
        <v>59</v>
      </c>
      <c r="I174" s="49" t="s">
        <v>194</v>
      </c>
      <c r="J174" s="49" t="s">
        <v>268</v>
      </c>
      <c r="K174" s="49"/>
      <c r="L174" s="49"/>
      <c r="M174" s="50"/>
      <c r="N174" s="49"/>
      <c r="O174" s="49"/>
      <c r="P174" s="50"/>
      <c r="Q174" s="52"/>
      <c r="R174" s="36"/>
      <c r="S174" s="47" t="s">
        <v>149</v>
      </c>
    </row>
    <row r="175" spans="1:19" s="47" customFormat="1" ht="12" x14ac:dyDescent="0.2">
      <c r="A175" s="104">
        <v>691</v>
      </c>
      <c r="B175" s="48" t="s">
        <v>689</v>
      </c>
      <c r="C175" s="49" t="s">
        <v>690</v>
      </c>
      <c r="D175" s="50">
        <v>45474</v>
      </c>
      <c r="E175" s="51" t="s">
        <v>691</v>
      </c>
      <c r="F175" s="49" t="s">
        <v>70</v>
      </c>
      <c r="G175" s="49" t="s">
        <v>1767</v>
      </c>
      <c r="H175" s="49" t="s">
        <v>59</v>
      </c>
      <c r="I175" s="49" t="s">
        <v>194</v>
      </c>
      <c r="J175" s="49" t="s">
        <v>268</v>
      </c>
      <c r="K175" s="49"/>
      <c r="L175" s="49"/>
      <c r="M175" s="50"/>
      <c r="N175" s="49"/>
      <c r="O175" s="49"/>
      <c r="P175" s="50"/>
      <c r="Q175" s="52"/>
      <c r="R175" s="36"/>
      <c r="S175" s="47" t="s">
        <v>149</v>
      </c>
    </row>
    <row r="176" spans="1:19" s="47" customFormat="1" ht="12" x14ac:dyDescent="0.2">
      <c r="A176" s="104">
        <v>692</v>
      </c>
      <c r="B176" s="48" t="s">
        <v>692</v>
      </c>
      <c r="C176" s="49" t="s">
        <v>693</v>
      </c>
      <c r="D176" s="50">
        <v>45474</v>
      </c>
      <c r="E176" s="51" t="s">
        <v>1701</v>
      </c>
      <c r="F176" s="49" t="s">
        <v>70</v>
      </c>
      <c r="G176" s="49" t="s">
        <v>121</v>
      </c>
      <c r="H176" s="49" t="s">
        <v>59</v>
      </c>
      <c r="I176" s="49" t="s">
        <v>267</v>
      </c>
      <c r="J176" s="49" t="s">
        <v>302</v>
      </c>
      <c r="K176" s="49"/>
      <c r="L176" s="49"/>
      <c r="M176" s="50"/>
      <c r="N176" s="49"/>
      <c r="O176" s="49"/>
      <c r="P176" s="50"/>
      <c r="Q176" s="52"/>
      <c r="R176" s="36"/>
      <c r="S176" s="47" t="s">
        <v>149</v>
      </c>
    </row>
    <row r="177" spans="1:20" s="47" customFormat="1" ht="12" x14ac:dyDescent="0.2">
      <c r="A177" s="104">
        <v>693</v>
      </c>
      <c r="B177" s="48" t="s">
        <v>695</v>
      </c>
      <c r="C177" s="49" t="s">
        <v>696</v>
      </c>
      <c r="D177" s="50">
        <v>45481</v>
      </c>
      <c r="E177" s="51" t="s">
        <v>169</v>
      </c>
      <c r="F177" s="49" t="s">
        <v>70</v>
      </c>
      <c r="G177" s="49" t="s">
        <v>120</v>
      </c>
      <c r="H177" s="49" t="s">
        <v>57</v>
      </c>
      <c r="I177" s="49" t="s">
        <v>162</v>
      </c>
      <c r="J177" s="49" t="s">
        <v>163</v>
      </c>
      <c r="K177" s="49"/>
      <c r="L177" s="49"/>
      <c r="M177" s="50"/>
      <c r="N177" s="49"/>
      <c r="O177" s="49"/>
      <c r="P177" s="50"/>
      <c r="Q177" s="52"/>
      <c r="R177" s="36"/>
      <c r="S177" s="47" t="s">
        <v>149</v>
      </c>
    </row>
    <row r="178" spans="1:20" s="47" customFormat="1" ht="12" x14ac:dyDescent="0.2">
      <c r="A178" s="104">
        <v>695</v>
      </c>
      <c r="B178" s="48" t="s">
        <v>697</v>
      </c>
      <c r="C178" s="49" t="s">
        <v>698</v>
      </c>
      <c r="D178" s="50">
        <v>45483</v>
      </c>
      <c r="E178" s="51" t="s">
        <v>588</v>
      </c>
      <c r="F178" s="49" t="s">
        <v>70</v>
      </c>
      <c r="G178" s="49" t="s">
        <v>388</v>
      </c>
      <c r="H178" s="49" t="s">
        <v>46</v>
      </c>
      <c r="I178" s="49" t="s">
        <v>387</v>
      </c>
      <c r="J178" s="49" t="s">
        <v>388</v>
      </c>
      <c r="K178" s="49"/>
      <c r="L178" s="49"/>
      <c r="M178" s="50"/>
      <c r="N178" s="49"/>
      <c r="O178" s="49"/>
      <c r="P178" s="50"/>
      <c r="Q178" s="52"/>
      <c r="R178" s="36"/>
      <c r="S178" s="47" t="s">
        <v>149</v>
      </c>
    </row>
    <row r="179" spans="1:20" s="47" customFormat="1" ht="12" x14ac:dyDescent="0.2">
      <c r="A179" s="104">
        <v>696</v>
      </c>
      <c r="B179" s="62" t="s">
        <v>699</v>
      </c>
      <c r="C179" s="63" t="s">
        <v>700</v>
      </c>
      <c r="D179" s="50">
        <v>45488</v>
      </c>
      <c r="E179" s="65" t="s">
        <v>206</v>
      </c>
      <c r="F179" s="49" t="s">
        <v>70</v>
      </c>
      <c r="G179" s="49" t="s">
        <v>122</v>
      </c>
      <c r="H179" s="63" t="s">
        <v>59</v>
      </c>
      <c r="I179" s="63" t="s">
        <v>536</v>
      </c>
      <c r="J179" s="63" t="s">
        <v>297</v>
      </c>
      <c r="K179" s="63"/>
      <c r="L179" s="63"/>
      <c r="M179" s="64"/>
      <c r="N179" s="63"/>
      <c r="O179" s="63"/>
      <c r="P179" s="64"/>
      <c r="Q179" s="66"/>
      <c r="R179" s="36"/>
      <c r="S179" s="47" t="s">
        <v>149</v>
      </c>
    </row>
    <row r="180" spans="1:20" s="47" customFormat="1" ht="12" x14ac:dyDescent="0.2">
      <c r="A180" s="104">
        <v>694</v>
      </c>
      <c r="B180" s="48" t="s">
        <v>702</v>
      </c>
      <c r="C180" s="49" t="s">
        <v>703</v>
      </c>
      <c r="D180" s="50">
        <v>45502</v>
      </c>
      <c r="E180" s="51" t="s">
        <v>169</v>
      </c>
      <c r="F180" s="49" t="s">
        <v>70</v>
      </c>
      <c r="G180" s="49" t="s">
        <v>322</v>
      </c>
      <c r="H180" s="49" t="s">
        <v>46</v>
      </c>
      <c r="I180" s="49" t="s">
        <v>407</v>
      </c>
      <c r="J180" s="59" t="s">
        <v>158</v>
      </c>
      <c r="K180" s="49"/>
      <c r="L180" s="49"/>
      <c r="M180" s="50"/>
      <c r="N180" s="49"/>
      <c r="O180" s="49"/>
      <c r="P180" s="50"/>
      <c r="Q180" s="52"/>
      <c r="R180" s="36"/>
      <c r="S180" s="47" t="s">
        <v>149</v>
      </c>
    </row>
    <row r="181" spans="1:20" s="47" customFormat="1" ht="12" x14ac:dyDescent="0.2">
      <c r="A181" s="104">
        <v>699</v>
      </c>
      <c r="B181" s="48" t="s">
        <v>1791</v>
      </c>
      <c r="C181" s="49" t="s">
        <v>705</v>
      </c>
      <c r="D181" s="50">
        <v>45502</v>
      </c>
      <c r="E181" s="51" t="s">
        <v>206</v>
      </c>
      <c r="F181" s="49" t="s">
        <v>70</v>
      </c>
      <c r="G181" s="49" t="s">
        <v>322</v>
      </c>
      <c r="H181" s="49" t="s">
        <v>46</v>
      </c>
      <c r="I181" s="49" t="s">
        <v>207</v>
      </c>
      <c r="J181" s="49" t="s">
        <v>158</v>
      </c>
      <c r="K181" s="49"/>
      <c r="L181" s="49"/>
      <c r="M181" s="50"/>
      <c r="N181" s="49"/>
      <c r="O181" s="49"/>
      <c r="P181" s="50"/>
      <c r="Q181" s="52"/>
      <c r="R181" s="36"/>
      <c r="S181" s="47" t="s">
        <v>149</v>
      </c>
    </row>
    <row r="182" spans="1:20" s="47" customFormat="1" ht="12" x14ac:dyDescent="0.2">
      <c r="A182" s="104">
        <v>702</v>
      </c>
      <c r="B182" s="48" t="s">
        <v>710</v>
      </c>
      <c r="C182" s="49" t="s">
        <v>711</v>
      </c>
      <c r="D182" s="50">
        <v>45509</v>
      </c>
      <c r="E182" s="51" t="s">
        <v>372</v>
      </c>
      <c r="F182" s="49" t="s">
        <v>70</v>
      </c>
      <c r="G182" s="49" t="s">
        <v>120</v>
      </c>
      <c r="H182" s="49" t="s">
        <v>61</v>
      </c>
      <c r="I182" s="49" t="s">
        <v>314</v>
      </c>
      <c r="J182" s="49" t="s">
        <v>343</v>
      </c>
      <c r="K182" s="49"/>
      <c r="L182" s="49"/>
      <c r="M182" s="50"/>
      <c r="N182" s="49"/>
      <c r="O182" s="49"/>
      <c r="P182" s="50"/>
      <c r="Q182" s="52"/>
      <c r="R182" s="36"/>
      <c r="S182" s="47" t="s">
        <v>149</v>
      </c>
    </row>
    <row r="183" spans="1:20" s="47" customFormat="1" ht="12" x14ac:dyDescent="0.2">
      <c r="A183" s="104">
        <v>697</v>
      </c>
      <c r="B183" s="48" t="s">
        <v>712</v>
      </c>
      <c r="C183" s="49" t="s">
        <v>713</v>
      </c>
      <c r="D183" s="50">
        <v>45516</v>
      </c>
      <c r="E183" s="51" t="s">
        <v>206</v>
      </c>
      <c r="F183" s="49" t="s">
        <v>70</v>
      </c>
      <c r="G183" s="49" t="s">
        <v>122</v>
      </c>
      <c r="H183" s="49" t="s">
        <v>61</v>
      </c>
      <c r="I183" s="49" t="s">
        <v>400</v>
      </c>
      <c r="J183" s="49" t="s">
        <v>175</v>
      </c>
      <c r="K183" s="49"/>
      <c r="L183" s="49"/>
      <c r="M183" s="50"/>
      <c r="N183" s="49"/>
      <c r="O183" s="49"/>
      <c r="P183" s="50"/>
      <c r="Q183" s="52"/>
      <c r="R183" s="36"/>
      <c r="S183" s="47" t="s">
        <v>149</v>
      </c>
    </row>
    <row r="184" spans="1:20" s="47" customFormat="1" ht="13.15" customHeight="1" x14ac:dyDescent="0.2">
      <c r="A184" s="104">
        <v>698</v>
      </c>
      <c r="B184" s="48" t="s">
        <v>534</v>
      </c>
      <c r="C184" s="49" t="s">
        <v>714</v>
      </c>
      <c r="D184" s="50">
        <v>45530</v>
      </c>
      <c r="E184" s="51" t="s">
        <v>206</v>
      </c>
      <c r="F184" s="49" t="s">
        <v>70</v>
      </c>
      <c r="G184" s="49" t="s">
        <v>122</v>
      </c>
      <c r="H184" s="49" t="s">
        <v>57</v>
      </c>
      <c r="I184" s="49" t="s">
        <v>162</v>
      </c>
      <c r="J184" s="49" t="s">
        <v>239</v>
      </c>
      <c r="K184" s="49"/>
      <c r="L184" s="49"/>
      <c r="M184" s="50"/>
      <c r="N184" s="49"/>
      <c r="O184" s="49"/>
      <c r="P184" s="50"/>
      <c r="Q184" s="52"/>
      <c r="R184" s="36"/>
      <c r="S184" s="47" t="s">
        <v>149</v>
      </c>
    </row>
    <row r="185" spans="1:20" s="47" customFormat="1" ht="12" x14ac:dyDescent="0.2">
      <c r="A185" s="104">
        <v>705</v>
      </c>
      <c r="B185" s="48" t="s">
        <v>715</v>
      </c>
      <c r="C185" s="49" t="s">
        <v>716</v>
      </c>
      <c r="D185" s="50">
        <v>45530</v>
      </c>
      <c r="E185" s="51" t="s">
        <v>169</v>
      </c>
      <c r="F185" s="49" t="s">
        <v>70</v>
      </c>
      <c r="G185" s="49" t="s">
        <v>120</v>
      </c>
      <c r="H185" s="49" t="s">
        <v>61</v>
      </c>
      <c r="I185" s="49" t="s">
        <v>314</v>
      </c>
      <c r="J185" s="49" t="s">
        <v>175</v>
      </c>
      <c r="K185" s="49"/>
      <c r="L185" s="49"/>
      <c r="M185" s="50"/>
      <c r="N185" s="49"/>
      <c r="O185" s="49"/>
      <c r="P185" s="50"/>
      <c r="Q185" s="52"/>
      <c r="R185" s="36"/>
      <c r="S185" s="47" t="s">
        <v>149</v>
      </c>
    </row>
    <row r="186" spans="1:20" s="47" customFormat="1" ht="12" x14ac:dyDescent="0.2">
      <c r="A186" s="104">
        <v>704</v>
      </c>
      <c r="B186" s="48" t="s">
        <v>717</v>
      </c>
      <c r="C186" s="49" t="s">
        <v>718</v>
      </c>
      <c r="D186" s="50">
        <v>45537</v>
      </c>
      <c r="E186" s="51" t="s">
        <v>372</v>
      </c>
      <c r="F186" s="49" t="s">
        <v>72</v>
      </c>
      <c r="G186" s="49" t="s">
        <v>120</v>
      </c>
      <c r="H186" s="49" t="s">
        <v>57</v>
      </c>
      <c r="I186" s="49" t="s">
        <v>481</v>
      </c>
      <c r="J186" s="49" t="s">
        <v>72</v>
      </c>
      <c r="K186" s="49"/>
      <c r="L186" s="49"/>
      <c r="M186" s="50"/>
      <c r="N186" s="49"/>
      <c r="O186" s="49"/>
      <c r="P186" s="50"/>
      <c r="Q186" s="52" t="s">
        <v>1792</v>
      </c>
      <c r="R186" s="36"/>
      <c r="S186" s="47" t="s">
        <v>149</v>
      </c>
    </row>
    <row r="187" spans="1:20" x14ac:dyDescent="0.2">
      <c r="A187" s="104">
        <v>706</v>
      </c>
      <c r="B187" s="48" t="s">
        <v>719</v>
      </c>
      <c r="C187" s="49" t="s">
        <v>720</v>
      </c>
      <c r="D187" s="50">
        <v>45537</v>
      </c>
      <c r="E187" s="51" t="s">
        <v>206</v>
      </c>
      <c r="F187" s="49" t="s">
        <v>70</v>
      </c>
      <c r="G187" s="49" t="s">
        <v>122</v>
      </c>
      <c r="H187" s="49" t="s">
        <v>59</v>
      </c>
      <c r="I187" s="49" t="s">
        <v>536</v>
      </c>
      <c r="J187" s="49" t="s">
        <v>268</v>
      </c>
      <c r="K187" s="49"/>
      <c r="L187" s="49"/>
      <c r="M187" s="50"/>
      <c r="N187" s="49"/>
      <c r="O187" s="49"/>
      <c r="P187" s="50"/>
      <c r="Q187" s="52"/>
      <c r="R187" s="36"/>
      <c r="S187" s="47" t="s">
        <v>213</v>
      </c>
      <c r="T187" s="47"/>
    </row>
    <row r="188" spans="1:20" s="47" customFormat="1" ht="12" x14ac:dyDescent="0.2">
      <c r="A188" s="104">
        <v>707</v>
      </c>
      <c r="B188" s="48" t="s">
        <v>721</v>
      </c>
      <c r="C188" s="49" t="s">
        <v>722</v>
      </c>
      <c r="D188" s="50">
        <v>45537</v>
      </c>
      <c r="E188" s="51" t="s">
        <v>169</v>
      </c>
      <c r="F188" s="49" t="s">
        <v>70</v>
      </c>
      <c r="G188" s="49" t="s">
        <v>120</v>
      </c>
      <c r="H188" s="49" t="s">
        <v>61</v>
      </c>
      <c r="I188" s="49" t="s">
        <v>314</v>
      </c>
      <c r="J188" s="49" t="s">
        <v>343</v>
      </c>
      <c r="K188" s="49"/>
      <c r="L188" s="49"/>
      <c r="M188" s="50"/>
      <c r="N188" s="49"/>
      <c r="O188" s="49"/>
      <c r="P188" s="50"/>
      <c r="Q188" s="52"/>
      <c r="R188" s="52"/>
      <c r="S188" s="47" t="s">
        <v>149</v>
      </c>
    </row>
    <row r="189" spans="1:20" s="47" customFormat="1" ht="12" x14ac:dyDescent="0.2">
      <c r="A189" s="104">
        <v>713</v>
      </c>
      <c r="B189" s="48" t="s">
        <v>410</v>
      </c>
      <c r="C189" s="49" t="s">
        <v>726</v>
      </c>
      <c r="D189" s="50">
        <v>45553</v>
      </c>
      <c r="E189" s="51" t="s">
        <v>727</v>
      </c>
      <c r="F189" s="49" t="s">
        <v>70</v>
      </c>
      <c r="G189" s="49" t="s">
        <v>227</v>
      </c>
      <c r="H189" s="49" t="s">
        <v>223</v>
      </c>
      <c r="I189" s="49" t="s">
        <v>728</v>
      </c>
      <c r="J189" s="49" t="s">
        <v>222</v>
      </c>
      <c r="K189" s="49"/>
      <c r="L189" s="49"/>
      <c r="M189" s="50"/>
      <c r="N189" s="49"/>
      <c r="O189" s="49"/>
      <c r="P189" s="50"/>
      <c r="Q189" s="52" t="s">
        <v>729</v>
      </c>
      <c r="R189" s="36"/>
      <c r="S189" s="47" t="s">
        <v>213</v>
      </c>
      <c r="T189" s="47" t="s">
        <v>349</v>
      </c>
    </row>
    <row r="190" spans="1:20" s="47" customFormat="1" ht="12" x14ac:dyDescent="0.2">
      <c r="A190" s="104">
        <v>708</v>
      </c>
      <c r="B190" s="48" t="s">
        <v>730</v>
      </c>
      <c r="C190" s="49" t="s">
        <v>731</v>
      </c>
      <c r="D190" s="50">
        <v>45558</v>
      </c>
      <c r="E190" s="51" t="s">
        <v>732</v>
      </c>
      <c r="F190" s="49" t="s">
        <v>70</v>
      </c>
      <c r="G190" s="49" t="s">
        <v>347</v>
      </c>
      <c r="H190" s="49" t="s">
        <v>57</v>
      </c>
      <c r="I190" s="49" t="s">
        <v>490</v>
      </c>
      <c r="J190" s="49" t="s">
        <v>72</v>
      </c>
      <c r="K190" s="49"/>
      <c r="L190" s="49"/>
      <c r="M190" s="50"/>
      <c r="N190" s="49"/>
      <c r="O190" s="49"/>
      <c r="P190" s="50"/>
      <c r="Q190" s="52"/>
      <c r="R190" s="36"/>
      <c r="S190" s="47" t="s">
        <v>149</v>
      </c>
    </row>
    <row r="191" spans="1:20" s="47" customFormat="1" ht="12" x14ac:dyDescent="0.2">
      <c r="A191" s="104">
        <v>714</v>
      </c>
      <c r="B191" s="48" t="s">
        <v>733</v>
      </c>
      <c r="C191" s="49" t="s">
        <v>734</v>
      </c>
      <c r="D191" s="50">
        <v>45565</v>
      </c>
      <c r="E191" s="51" t="s">
        <v>464</v>
      </c>
      <c r="F191" s="49" t="s">
        <v>70</v>
      </c>
      <c r="G191" s="49" t="s">
        <v>124</v>
      </c>
      <c r="H191" s="49" t="s">
        <v>46</v>
      </c>
      <c r="I191" s="49" t="s">
        <v>187</v>
      </c>
      <c r="J191" s="49" t="s">
        <v>158</v>
      </c>
      <c r="K191" s="49"/>
      <c r="L191" s="49"/>
      <c r="M191" s="50"/>
      <c r="N191" s="49"/>
      <c r="O191" s="49"/>
      <c r="P191" s="50"/>
      <c r="Q191" s="52"/>
      <c r="R191" s="36"/>
      <c r="S191" s="47" t="s">
        <v>149</v>
      </c>
    </row>
    <row r="192" spans="1:20" s="47" customFormat="1" ht="12" x14ac:dyDescent="0.2">
      <c r="A192" s="104">
        <v>715</v>
      </c>
      <c r="B192" s="48" t="s">
        <v>735</v>
      </c>
      <c r="C192" s="49" t="s">
        <v>736</v>
      </c>
      <c r="D192" s="50">
        <v>45572</v>
      </c>
      <c r="E192" s="51" t="s">
        <v>1610</v>
      </c>
      <c r="F192" s="49" t="s">
        <v>70</v>
      </c>
      <c r="G192" s="49" t="s">
        <v>1793</v>
      </c>
      <c r="H192" s="49" t="s">
        <v>46</v>
      </c>
      <c r="I192" s="49" t="s">
        <v>1654</v>
      </c>
      <c r="J192" s="49" t="s">
        <v>284</v>
      </c>
      <c r="K192" s="49"/>
      <c r="L192" s="49"/>
      <c r="M192" s="50"/>
      <c r="N192" s="49"/>
      <c r="O192" s="49"/>
      <c r="P192" s="50"/>
      <c r="Q192" s="52"/>
      <c r="R192" s="36"/>
      <c r="S192" s="47" t="s">
        <v>149</v>
      </c>
    </row>
    <row r="193" spans="1:20" s="47" customFormat="1" ht="12" x14ac:dyDescent="0.2">
      <c r="A193" s="104">
        <v>716</v>
      </c>
      <c r="B193" s="48" t="s">
        <v>738</v>
      </c>
      <c r="C193" s="49" t="s">
        <v>739</v>
      </c>
      <c r="D193" s="50">
        <v>45574</v>
      </c>
      <c r="E193" s="51" t="s">
        <v>464</v>
      </c>
      <c r="F193" s="49" t="s">
        <v>70</v>
      </c>
      <c r="G193" s="49" t="s">
        <v>347</v>
      </c>
      <c r="H193" s="49" t="s">
        <v>57</v>
      </c>
      <c r="I193" s="49" t="s">
        <v>238</v>
      </c>
      <c r="J193" s="49" t="s">
        <v>163</v>
      </c>
      <c r="K193" s="49"/>
      <c r="L193" s="49"/>
      <c r="M193" s="50"/>
      <c r="N193" s="49"/>
      <c r="O193" s="49"/>
      <c r="P193" s="50"/>
      <c r="Q193" s="52"/>
      <c r="R193" s="36"/>
      <c r="S193" s="47" t="s">
        <v>149</v>
      </c>
    </row>
    <row r="194" spans="1:20" s="47" customFormat="1" ht="12" x14ac:dyDescent="0.2">
      <c r="A194" s="148">
        <v>717</v>
      </c>
      <c r="B194" s="62" t="s">
        <v>740</v>
      </c>
      <c r="C194" s="63" t="s">
        <v>741</v>
      </c>
      <c r="D194" s="64">
        <v>45579</v>
      </c>
      <c r="E194" s="178" t="s">
        <v>742</v>
      </c>
      <c r="F194" s="63" t="s">
        <v>70</v>
      </c>
      <c r="G194" s="63" t="s">
        <v>106</v>
      </c>
      <c r="H194" s="63" t="s">
        <v>46</v>
      </c>
      <c r="I194" s="63" t="s">
        <v>1654</v>
      </c>
      <c r="J194" s="63" t="s">
        <v>284</v>
      </c>
      <c r="K194" s="63"/>
      <c r="L194" s="63"/>
      <c r="M194" s="64"/>
      <c r="N194" s="63"/>
      <c r="O194" s="63"/>
      <c r="P194" s="64"/>
      <c r="Q194" s="66"/>
      <c r="R194" s="36"/>
      <c r="S194" s="47" t="s">
        <v>149</v>
      </c>
    </row>
    <row r="195" spans="1:20" s="47" customFormat="1" ht="12" hidden="1" x14ac:dyDescent="0.2">
      <c r="A195" s="148">
        <v>721</v>
      </c>
      <c r="B195" s="62" t="s">
        <v>743</v>
      </c>
      <c r="C195" s="63" t="s">
        <v>744</v>
      </c>
      <c r="D195" s="64">
        <v>45586</v>
      </c>
      <c r="E195" s="65" t="s">
        <v>745</v>
      </c>
      <c r="F195" s="63" t="s">
        <v>70</v>
      </c>
      <c r="G195" s="63" t="s">
        <v>347</v>
      </c>
      <c r="H195" s="63" t="s">
        <v>59</v>
      </c>
      <c r="I195" s="63" t="s">
        <v>746</v>
      </c>
      <c r="J195" s="63" t="s">
        <v>268</v>
      </c>
      <c r="K195" s="63"/>
      <c r="L195" s="63"/>
      <c r="M195" s="64"/>
      <c r="N195" s="63"/>
      <c r="O195" s="63"/>
      <c r="P195" s="64"/>
      <c r="Q195" s="66"/>
      <c r="R195" s="138">
        <v>45671</v>
      </c>
      <c r="S195" s="47" t="s">
        <v>149</v>
      </c>
    </row>
    <row r="196" spans="1:20" s="47" customFormat="1" ht="12" x14ac:dyDescent="0.2">
      <c r="A196" s="148">
        <v>722</v>
      </c>
      <c r="B196" s="48" t="s">
        <v>747</v>
      </c>
      <c r="C196" s="49" t="s">
        <v>748</v>
      </c>
      <c r="D196" s="50">
        <v>45595</v>
      </c>
      <c r="E196" s="51" t="s">
        <v>464</v>
      </c>
      <c r="F196" s="63" t="s">
        <v>70</v>
      </c>
      <c r="G196" s="63" t="s">
        <v>347</v>
      </c>
      <c r="H196" s="63" t="s">
        <v>59</v>
      </c>
      <c r="I196" s="63" t="s">
        <v>194</v>
      </c>
      <c r="J196" s="63" t="s">
        <v>268</v>
      </c>
      <c r="K196" s="63"/>
      <c r="L196" s="63"/>
      <c r="M196" s="64"/>
      <c r="N196" s="63"/>
      <c r="O196" s="63"/>
      <c r="P196" s="64"/>
      <c r="Q196" s="66"/>
      <c r="R196" s="36"/>
      <c r="S196" s="47" t="s">
        <v>149</v>
      </c>
    </row>
    <row r="197" spans="1:20" s="47" customFormat="1" ht="12" x14ac:dyDescent="0.2">
      <c r="A197" s="148">
        <v>723</v>
      </c>
      <c r="B197" s="48" t="s">
        <v>749</v>
      </c>
      <c r="C197" s="48" t="s">
        <v>750</v>
      </c>
      <c r="D197" s="180">
        <v>45596</v>
      </c>
      <c r="E197" s="48" t="s">
        <v>181</v>
      </c>
      <c r="F197" s="48" t="s">
        <v>70</v>
      </c>
      <c r="G197" s="48" t="s">
        <v>120</v>
      </c>
      <c r="H197" s="48" t="s">
        <v>59</v>
      </c>
      <c r="I197" s="48" t="s">
        <v>546</v>
      </c>
      <c r="J197" s="48" t="s">
        <v>268</v>
      </c>
      <c r="K197" s="48"/>
      <c r="L197" s="48"/>
      <c r="M197" s="48"/>
      <c r="N197" s="48"/>
      <c r="O197" s="48"/>
      <c r="P197" s="48"/>
      <c r="Q197" s="48"/>
      <c r="R197" s="36"/>
      <c r="S197" s="47" t="s">
        <v>149</v>
      </c>
    </row>
    <row r="198" spans="1:20" x14ac:dyDescent="0.2">
      <c r="A198" s="148">
        <v>724</v>
      </c>
      <c r="B198" s="48" t="s">
        <v>751</v>
      </c>
      <c r="C198" s="48" t="s">
        <v>752</v>
      </c>
      <c r="D198" s="50">
        <v>45628</v>
      </c>
      <c r="E198" s="51" t="s">
        <v>173</v>
      </c>
      <c r="F198" s="63" t="s">
        <v>70</v>
      </c>
      <c r="G198" s="63" t="s">
        <v>347</v>
      </c>
      <c r="H198" s="63" t="s">
        <v>57</v>
      </c>
      <c r="I198" s="63" t="s">
        <v>423</v>
      </c>
      <c r="J198" s="63" t="s">
        <v>72</v>
      </c>
      <c r="K198" s="63"/>
      <c r="L198" s="63"/>
      <c r="M198" s="64"/>
      <c r="N198" s="63"/>
      <c r="O198" s="63"/>
      <c r="P198" s="64"/>
      <c r="Q198" s="66"/>
      <c r="R198" s="36"/>
      <c r="S198" s="47" t="s">
        <v>149</v>
      </c>
      <c r="T198" s="47"/>
    </row>
    <row r="199" spans="1:20" x14ac:dyDescent="0.2">
      <c r="A199" s="148">
        <v>725</v>
      </c>
      <c r="B199" s="62" t="s">
        <v>753</v>
      </c>
      <c r="C199" s="63" t="s">
        <v>754</v>
      </c>
      <c r="D199" s="64">
        <v>45663</v>
      </c>
      <c r="E199" s="65" t="s">
        <v>511</v>
      </c>
      <c r="F199" s="63" t="s">
        <v>70</v>
      </c>
      <c r="G199" s="63" t="s">
        <v>106</v>
      </c>
      <c r="H199" s="63" t="s">
        <v>46</v>
      </c>
      <c r="I199" s="175" t="s">
        <v>512</v>
      </c>
      <c r="J199" s="63" t="s">
        <v>513</v>
      </c>
      <c r="K199" s="63"/>
      <c r="L199" s="63"/>
      <c r="M199" s="64"/>
      <c r="N199" s="63"/>
      <c r="O199" s="63"/>
      <c r="P199" s="64"/>
      <c r="Q199" s="66"/>
      <c r="R199" s="47"/>
      <c r="S199" s="47" t="s">
        <v>149</v>
      </c>
      <c r="T199" s="47"/>
    </row>
    <row r="200" spans="1:20" x14ac:dyDescent="0.2">
      <c r="A200" s="148">
        <v>726</v>
      </c>
      <c r="B200" s="62" t="s">
        <v>755</v>
      </c>
      <c r="C200" s="63" t="s">
        <v>756</v>
      </c>
      <c r="D200" s="64">
        <v>45663</v>
      </c>
      <c r="E200" s="65" t="s">
        <v>757</v>
      </c>
      <c r="F200" s="63" t="s">
        <v>70</v>
      </c>
      <c r="G200" s="63" t="s">
        <v>122</v>
      </c>
      <c r="H200" s="63" t="s">
        <v>57</v>
      </c>
      <c r="I200" s="175" t="s">
        <v>423</v>
      </c>
      <c r="J200" s="63" t="s">
        <v>72</v>
      </c>
      <c r="K200" s="63"/>
      <c r="L200" s="63"/>
      <c r="M200" s="64"/>
      <c r="N200" s="63"/>
      <c r="O200" s="63"/>
      <c r="P200" s="64"/>
      <c r="Q200" s="66" t="s">
        <v>758</v>
      </c>
      <c r="R200" s="47"/>
      <c r="S200" s="47" t="s">
        <v>149</v>
      </c>
      <c r="T200" s="47" t="s">
        <v>349</v>
      </c>
    </row>
    <row r="201" spans="1:20" x14ac:dyDescent="0.2">
      <c r="A201" s="148">
        <v>727</v>
      </c>
      <c r="B201" s="62" t="s">
        <v>761</v>
      </c>
      <c r="C201" s="63" t="s">
        <v>504</v>
      </c>
      <c r="D201" s="64">
        <v>45670</v>
      </c>
      <c r="E201" s="65" t="s">
        <v>169</v>
      </c>
      <c r="F201" s="63" t="s">
        <v>70</v>
      </c>
      <c r="G201" s="63" t="s">
        <v>120</v>
      </c>
      <c r="H201" s="63" t="s">
        <v>57</v>
      </c>
      <c r="I201" s="175" t="s">
        <v>162</v>
      </c>
      <c r="J201" s="63" t="s">
        <v>163</v>
      </c>
      <c r="K201" s="63"/>
      <c r="L201" s="63"/>
      <c r="M201" s="64"/>
      <c r="N201" s="63"/>
      <c r="O201" s="63"/>
      <c r="P201" s="64"/>
      <c r="Q201" s="66"/>
      <c r="R201" s="47"/>
      <c r="S201" s="47" t="s">
        <v>149</v>
      </c>
      <c r="T201" s="47"/>
    </row>
  </sheetData>
  <conditionalFormatting sqref="A4:A201">
    <cfRule type="duplicateValues" dxfId="0" priority="1"/>
  </conditionalFormatting>
  <pageMargins left="0.7" right="0.7" top="0.75" bottom="0.75" header="0.3" footer="0.3"/>
  <headerFooter>
    <oddHeader>&amp;C&amp;"Calibri"&amp;10&amp;K000000 [PROTECTED_INTERNAL]&amp;1#_x000D_</oddHeader>
  </headerFooter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424C-C03D-4E10-A28C-3B70807A62C0}">
  <dimension ref="A1:R189"/>
  <sheetViews>
    <sheetView workbookViewId="0"/>
  </sheetViews>
  <sheetFormatPr defaultColWidth="9.140625" defaultRowHeight="12.75" x14ac:dyDescent="0.2"/>
  <cols>
    <col min="1" max="1" width="9.140625" style="105"/>
    <col min="2" max="2" width="15.140625" style="2" bestFit="1" customWidth="1"/>
    <col min="3" max="3" width="15.7109375" style="2" customWidth="1"/>
    <col min="4" max="4" width="10.28515625" style="2" customWidth="1"/>
    <col min="5" max="5" width="27.7109375" style="2" customWidth="1"/>
    <col min="6" max="6" width="10.85546875" style="2" bestFit="1" customWidth="1"/>
    <col min="7" max="7" width="24.28515625" style="2" customWidth="1"/>
    <col min="8" max="8" width="17.140625" style="2" customWidth="1"/>
    <col min="9" max="9" width="16.7109375" style="2" hidden="1" customWidth="1"/>
    <col min="10" max="10" width="14.28515625" style="38" customWidth="1"/>
    <col min="11" max="11" width="18.5703125" style="2" hidden="1" customWidth="1"/>
    <col min="12" max="12" width="21.5703125" style="2" hidden="1" customWidth="1"/>
    <col min="13" max="13" width="12.28515625" style="2" hidden="1" customWidth="1"/>
    <col min="14" max="14" width="20.85546875" style="2" bestFit="1" customWidth="1"/>
    <col min="15" max="16" width="24.28515625" style="2" hidden="1" customWidth="1"/>
    <col min="17" max="17" width="95" style="2" bestFit="1" customWidth="1"/>
    <col min="18" max="16384" width="9.140625" style="2"/>
  </cols>
  <sheetData>
    <row r="1" spans="1:18" ht="18.75" x14ac:dyDescent="0.3">
      <c r="A1" s="103" t="s">
        <v>125</v>
      </c>
      <c r="C1" s="2" t="s">
        <v>1794</v>
      </c>
      <c r="D1" s="2" t="s">
        <v>1794</v>
      </c>
    </row>
    <row r="3" spans="1:18" s="47" customFormat="1" ht="27" customHeight="1" x14ac:dyDescent="0.2">
      <c r="A3" s="102" t="s">
        <v>1795</v>
      </c>
      <c r="B3" s="39" t="s">
        <v>128</v>
      </c>
      <c r="C3" s="40" t="s">
        <v>129</v>
      </c>
      <c r="D3" s="41" t="s">
        <v>130</v>
      </c>
      <c r="E3" s="40" t="s">
        <v>131</v>
      </c>
      <c r="F3" s="42" t="s">
        <v>68</v>
      </c>
      <c r="G3" s="42" t="s">
        <v>132</v>
      </c>
      <c r="H3" s="42" t="s">
        <v>115</v>
      </c>
      <c r="I3" s="43" t="s">
        <v>134</v>
      </c>
      <c r="J3" s="43" t="s">
        <v>133</v>
      </c>
      <c r="K3" s="44" t="s">
        <v>135</v>
      </c>
      <c r="L3" s="44" t="s">
        <v>136</v>
      </c>
      <c r="M3" s="44" t="s">
        <v>137</v>
      </c>
      <c r="N3" s="45" t="s">
        <v>117</v>
      </c>
      <c r="O3" s="45" t="s">
        <v>138</v>
      </c>
      <c r="P3" s="45" t="s">
        <v>139</v>
      </c>
      <c r="Q3" s="46" t="s">
        <v>140</v>
      </c>
      <c r="R3" s="98"/>
    </row>
    <row r="4" spans="1:18" s="47" customFormat="1" ht="13.15" customHeight="1" x14ac:dyDescent="0.2">
      <c r="A4" s="104">
        <v>405</v>
      </c>
      <c r="B4" s="48" t="s">
        <v>362</v>
      </c>
      <c r="C4" s="49" t="s">
        <v>363</v>
      </c>
      <c r="D4" s="50">
        <v>44299</v>
      </c>
      <c r="E4" s="51" t="s">
        <v>364</v>
      </c>
      <c r="F4" s="49" t="s">
        <v>70</v>
      </c>
      <c r="G4" s="49" t="s">
        <v>1796</v>
      </c>
      <c r="H4" s="49" t="s">
        <v>46</v>
      </c>
      <c r="I4" s="49" t="s">
        <v>46</v>
      </c>
      <c r="J4" s="49" t="s">
        <v>1654</v>
      </c>
      <c r="K4" s="49"/>
      <c r="L4" s="50"/>
      <c r="M4" s="49"/>
      <c r="N4" s="49" t="s">
        <v>1655</v>
      </c>
      <c r="O4" s="49"/>
      <c r="P4" s="50"/>
      <c r="Q4" s="52"/>
      <c r="R4" s="36"/>
    </row>
    <row r="5" spans="1:18" s="47" customFormat="1" ht="12" x14ac:dyDescent="0.2">
      <c r="A5" s="104" t="e">
        <v>#N/A</v>
      </c>
      <c r="B5" s="48" t="s">
        <v>706</v>
      </c>
      <c r="C5" s="49" t="s">
        <v>707</v>
      </c>
      <c r="D5" s="50">
        <v>45509</v>
      </c>
      <c r="E5" s="51" t="s">
        <v>708</v>
      </c>
      <c r="F5" s="49" t="s">
        <v>70</v>
      </c>
      <c r="G5" s="49" t="s">
        <v>158</v>
      </c>
      <c r="H5" s="49" t="s">
        <v>46</v>
      </c>
      <c r="I5" s="49"/>
      <c r="J5" s="49" t="s">
        <v>293</v>
      </c>
      <c r="K5" s="49"/>
      <c r="L5" s="50"/>
      <c r="M5" s="49"/>
      <c r="N5" s="49" t="s">
        <v>1696</v>
      </c>
      <c r="O5" s="49"/>
      <c r="P5" s="50"/>
      <c r="Q5" s="52"/>
      <c r="R5" s="36"/>
    </row>
    <row r="6" spans="1:18" s="47" customFormat="1" ht="12" x14ac:dyDescent="0.2">
      <c r="A6" s="104">
        <v>274</v>
      </c>
      <c r="B6" s="48" t="s">
        <v>232</v>
      </c>
      <c r="C6" s="49" t="s">
        <v>233</v>
      </c>
      <c r="D6" s="50">
        <v>41957</v>
      </c>
      <c r="E6" s="51" t="s">
        <v>234</v>
      </c>
      <c r="F6" s="49" t="s">
        <v>70</v>
      </c>
      <c r="G6" s="49" t="s">
        <v>121</v>
      </c>
      <c r="H6" s="49" t="s">
        <v>46</v>
      </c>
      <c r="I6" s="49" t="s">
        <v>46</v>
      </c>
      <c r="J6" s="49" t="s">
        <v>157</v>
      </c>
      <c r="K6" s="49"/>
      <c r="L6" s="50"/>
      <c r="M6" s="49"/>
      <c r="N6" s="49" t="s">
        <v>106</v>
      </c>
      <c r="O6" s="49"/>
      <c r="P6" s="50"/>
      <c r="Q6" s="52"/>
      <c r="R6" s="36"/>
    </row>
    <row r="7" spans="1:18" s="47" customFormat="1" ht="12" x14ac:dyDescent="0.2">
      <c r="A7" s="104">
        <v>568</v>
      </c>
      <c r="B7" s="48" t="s">
        <v>532</v>
      </c>
      <c r="C7" s="49" t="s">
        <v>533</v>
      </c>
      <c r="D7" s="50">
        <v>44879</v>
      </c>
      <c r="E7" s="51" t="s">
        <v>318</v>
      </c>
      <c r="F7" s="49" t="s">
        <v>70</v>
      </c>
      <c r="G7" s="49" t="s">
        <v>1797</v>
      </c>
      <c r="H7" s="49" t="s">
        <v>46</v>
      </c>
      <c r="I7" s="49" t="s">
        <v>46</v>
      </c>
      <c r="J7" s="49" t="s">
        <v>512</v>
      </c>
      <c r="K7" s="49"/>
      <c r="L7" s="50"/>
      <c r="M7" s="49"/>
      <c r="N7" s="49" t="s">
        <v>513</v>
      </c>
      <c r="O7" s="49"/>
      <c r="P7" s="50"/>
      <c r="Q7" s="52"/>
      <c r="R7" s="36"/>
    </row>
    <row r="8" spans="1:18" s="47" customFormat="1" ht="12" x14ac:dyDescent="0.2">
      <c r="A8" s="104">
        <v>600</v>
      </c>
      <c r="B8" s="48" t="s">
        <v>583</v>
      </c>
      <c r="C8" s="49" t="s">
        <v>584</v>
      </c>
      <c r="D8" s="50">
        <v>45083</v>
      </c>
      <c r="E8" s="51" t="s">
        <v>1535</v>
      </c>
      <c r="F8" s="49" t="s">
        <v>70</v>
      </c>
      <c r="G8" s="49" t="s">
        <v>55</v>
      </c>
      <c r="H8" s="49" t="s">
        <v>55</v>
      </c>
      <c r="I8" s="49" t="s">
        <v>55</v>
      </c>
      <c r="J8" s="49" t="s">
        <v>329</v>
      </c>
      <c r="K8" s="49"/>
      <c r="L8" s="50"/>
      <c r="M8" s="49"/>
      <c r="N8" s="49" t="s">
        <v>55</v>
      </c>
      <c r="O8" s="49"/>
      <c r="P8" s="50"/>
      <c r="Q8" s="52"/>
      <c r="R8" s="36"/>
    </row>
    <row r="9" spans="1:18" s="47" customFormat="1" ht="12" x14ac:dyDescent="0.2">
      <c r="A9" s="104">
        <v>361</v>
      </c>
      <c r="B9" s="48" t="s">
        <v>335</v>
      </c>
      <c r="C9" s="49" t="s">
        <v>336</v>
      </c>
      <c r="D9" s="50">
        <v>44032</v>
      </c>
      <c r="E9" s="51" t="s">
        <v>1162</v>
      </c>
      <c r="F9" s="49" t="s">
        <v>70</v>
      </c>
      <c r="G9" s="49" t="s">
        <v>338</v>
      </c>
      <c r="H9" s="49" t="s">
        <v>223</v>
      </c>
      <c r="I9" s="49" t="s">
        <v>223</v>
      </c>
      <c r="J9" s="49" t="s">
        <v>288</v>
      </c>
      <c r="K9" s="49"/>
      <c r="L9" s="50"/>
      <c r="M9" s="49"/>
      <c r="N9" s="49" t="s">
        <v>272</v>
      </c>
      <c r="O9" s="49"/>
      <c r="P9" s="50"/>
      <c r="Q9" s="52"/>
      <c r="R9" s="36"/>
    </row>
    <row r="10" spans="1:18" s="47" customFormat="1" ht="12" x14ac:dyDescent="0.2">
      <c r="A10" s="104">
        <v>657</v>
      </c>
      <c r="B10" s="53" t="s">
        <v>621</v>
      </c>
      <c r="C10" s="54" t="s">
        <v>473</v>
      </c>
      <c r="D10" s="50">
        <v>45201</v>
      </c>
      <c r="E10" s="55" t="s">
        <v>1656</v>
      </c>
      <c r="F10" s="49" t="s">
        <v>72</v>
      </c>
      <c r="G10" s="49" t="s">
        <v>467</v>
      </c>
      <c r="H10" s="49" t="s">
        <v>57</v>
      </c>
      <c r="I10" s="49" t="s">
        <v>57</v>
      </c>
      <c r="J10" s="49" t="s">
        <v>1657</v>
      </c>
      <c r="K10" s="49"/>
      <c r="L10" s="50"/>
      <c r="M10" s="49"/>
      <c r="N10" s="49" t="s">
        <v>1658</v>
      </c>
      <c r="O10" s="49"/>
      <c r="P10" s="50"/>
      <c r="Q10" s="52"/>
      <c r="R10" s="36"/>
    </row>
    <row r="11" spans="1:18" s="47" customFormat="1" ht="12" x14ac:dyDescent="0.2">
      <c r="A11" s="104">
        <v>674</v>
      </c>
      <c r="B11" s="48" t="s">
        <v>661</v>
      </c>
      <c r="C11" s="49" t="s">
        <v>662</v>
      </c>
      <c r="D11" s="50">
        <v>45385</v>
      </c>
      <c r="E11" s="51" t="s">
        <v>1659</v>
      </c>
      <c r="F11" s="49" t="s">
        <v>70</v>
      </c>
      <c r="G11" s="49" t="s">
        <v>121</v>
      </c>
      <c r="H11" s="49" t="s">
        <v>46</v>
      </c>
      <c r="I11" s="49" t="s">
        <v>46</v>
      </c>
      <c r="J11" s="49" t="s">
        <v>1654</v>
      </c>
      <c r="K11" s="49"/>
      <c r="L11" s="50"/>
      <c r="M11" s="49"/>
      <c r="N11" s="49" t="s">
        <v>513</v>
      </c>
      <c r="O11" s="49"/>
      <c r="P11" s="50"/>
      <c r="Q11" s="52"/>
      <c r="R11" s="36"/>
    </row>
    <row r="12" spans="1:18" s="47" customFormat="1" ht="12" x14ac:dyDescent="0.2">
      <c r="A12" s="104">
        <v>635</v>
      </c>
      <c r="B12" s="53" t="s">
        <v>614</v>
      </c>
      <c r="C12" s="54" t="s">
        <v>1551</v>
      </c>
      <c r="D12" s="50">
        <v>45187</v>
      </c>
      <c r="E12" s="55" t="s">
        <v>346</v>
      </c>
      <c r="F12" s="49" t="s">
        <v>72</v>
      </c>
      <c r="G12" s="49" t="s">
        <v>347</v>
      </c>
      <c r="H12" s="49" t="s">
        <v>57</v>
      </c>
      <c r="I12" s="49" t="s">
        <v>57</v>
      </c>
      <c r="J12" s="49" t="s">
        <v>1661</v>
      </c>
      <c r="K12" s="49"/>
      <c r="L12" s="50"/>
      <c r="M12" s="49"/>
      <c r="N12" s="49" t="s">
        <v>1662</v>
      </c>
      <c r="O12" s="49"/>
      <c r="P12" s="50"/>
      <c r="Q12" s="52"/>
      <c r="R12" s="36"/>
    </row>
    <row r="13" spans="1:18" s="47" customFormat="1" ht="12" x14ac:dyDescent="0.2">
      <c r="A13" s="104">
        <v>441</v>
      </c>
      <c r="B13" s="48" t="s">
        <v>413</v>
      </c>
      <c r="C13" s="49" t="s">
        <v>414</v>
      </c>
      <c r="D13" s="50">
        <v>44447</v>
      </c>
      <c r="E13" s="51" t="s">
        <v>181</v>
      </c>
      <c r="F13" s="49" t="s">
        <v>70</v>
      </c>
      <c r="G13" s="49" t="s">
        <v>120</v>
      </c>
      <c r="H13" s="49" t="s">
        <v>57</v>
      </c>
      <c r="I13" s="49" t="s">
        <v>57</v>
      </c>
      <c r="J13" s="49" t="s">
        <v>162</v>
      </c>
      <c r="K13" s="49"/>
      <c r="L13" s="50"/>
      <c r="M13" s="49"/>
      <c r="N13" s="49" t="s">
        <v>239</v>
      </c>
      <c r="O13" s="49"/>
      <c r="P13" s="50"/>
      <c r="Q13" s="52"/>
      <c r="R13" s="36"/>
    </row>
    <row r="14" spans="1:18" s="47" customFormat="1" ht="12" x14ac:dyDescent="0.2">
      <c r="A14" s="104">
        <v>688</v>
      </c>
      <c r="B14" s="53" t="s">
        <v>678</v>
      </c>
      <c r="C14" s="49" t="s">
        <v>679</v>
      </c>
      <c r="D14" s="50">
        <v>45425</v>
      </c>
      <c r="E14" s="51" t="s">
        <v>181</v>
      </c>
      <c r="F14" s="49" t="s">
        <v>70</v>
      </c>
      <c r="G14" s="49" t="s">
        <v>120</v>
      </c>
      <c r="H14" s="49" t="s">
        <v>59</v>
      </c>
      <c r="I14" s="49" t="s">
        <v>59</v>
      </c>
      <c r="J14" s="49" t="s">
        <v>1663</v>
      </c>
      <c r="K14" s="49"/>
      <c r="L14" s="50"/>
      <c r="M14" s="49"/>
      <c r="N14" s="49" t="s">
        <v>1664</v>
      </c>
      <c r="O14" s="49"/>
      <c r="P14" s="50"/>
      <c r="Q14" s="52"/>
      <c r="R14" s="36"/>
    </row>
    <row r="15" spans="1:18" s="47" customFormat="1" ht="12" x14ac:dyDescent="0.2">
      <c r="A15" s="104">
        <v>548</v>
      </c>
      <c r="B15" s="48" t="s">
        <v>448</v>
      </c>
      <c r="C15" s="49" t="s">
        <v>449</v>
      </c>
      <c r="D15" s="50">
        <v>44630</v>
      </c>
      <c r="E15" s="51" t="s">
        <v>173</v>
      </c>
      <c r="F15" s="49" t="s">
        <v>70</v>
      </c>
      <c r="G15" s="49" t="s">
        <v>347</v>
      </c>
      <c r="H15" s="49" t="s">
        <v>57</v>
      </c>
      <c r="I15" s="49" t="s">
        <v>57</v>
      </c>
      <c r="J15" s="49" t="s">
        <v>238</v>
      </c>
      <c r="K15" s="49"/>
      <c r="L15" s="50"/>
      <c r="M15" s="49"/>
      <c r="N15" s="49" t="s">
        <v>72</v>
      </c>
      <c r="O15" s="49"/>
      <c r="P15" s="50"/>
      <c r="Q15" s="52"/>
      <c r="R15" s="36"/>
    </row>
    <row r="16" spans="1:18" s="47" customFormat="1" ht="12" x14ac:dyDescent="0.2">
      <c r="A16" s="104">
        <v>117</v>
      </c>
      <c r="B16" s="48" t="s">
        <v>176</v>
      </c>
      <c r="C16" s="49" t="s">
        <v>177</v>
      </c>
      <c r="D16" s="50">
        <v>39475</v>
      </c>
      <c r="E16" s="51" t="s">
        <v>178</v>
      </c>
      <c r="F16" s="49" t="s">
        <v>70</v>
      </c>
      <c r="G16" s="49" t="s">
        <v>121</v>
      </c>
      <c r="H16" s="49" t="s">
        <v>60</v>
      </c>
      <c r="I16" s="49" t="s">
        <v>60</v>
      </c>
      <c r="J16" s="49" t="s">
        <v>147</v>
      </c>
      <c r="K16" s="49"/>
      <c r="L16" s="50"/>
      <c r="M16" s="49"/>
      <c r="N16" s="49" t="s">
        <v>60</v>
      </c>
      <c r="O16" s="49"/>
      <c r="P16" s="50"/>
      <c r="Q16" s="52"/>
      <c r="R16" s="36"/>
    </row>
    <row r="17" spans="1:18" s="47" customFormat="1" ht="12" x14ac:dyDescent="0.2">
      <c r="A17" s="104">
        <v>420</v>
      </c>
      <c r="B17" s="48" t="s">
        <v>373</v>
      </c>
      <c r="C17" s="49" t="s">
        <v>374</v>
      </c>
      <c r="D17" s="50">
        <v>44336</v>
      </c>
      <c r="E17" s="51" t="s">
        <v>372</v>
      </c>
      <c r="F17" s="49" t="s">
        <v>70</v>
      </c>
      <c r="G17" s="49" t="s">
        <v>120</v>
      </c>
      <c r="H17" s="49" t="s">
        <v>61</v>
      </c>
      <c r="I17" s="49" t="s">
        <v>61</v>
      </c>
      <c r="J17" s="49" t="s">
        <v>314</v>
      </c>
      <c r="K17" s="49"/>
      <c r="L17" s="50"/>
      <c r="M17" s="49"/>
      <c r="N17" s="49" t="s">
        <v>175</v>
      </c>
      <c r="O17" s="49"/>
      <c r="P17" s="50"/>
      <c r="Q17" s="52"/>
      <c r="R17" s="36"/>
    </row>
    <row r="18" spans="1:18" s="47" customFormat="1" ht="12" x14ac:dyDescent="0.2">
      <c r="A18" s="104">
        <v>138</v>
      </c>
      <c r="B18" s="48" t="s">
        <v>188</v>
      </c>
      <c r="C18" s="49" t="s">
        <v>189</v>
      </c>
      <c r="D18" s="50">
        <v>40067</v>
      </c>
      <c r="E18" s="51" t="s">
        <v>237</v>
      </c>
      <c r="F18" s="49" t="s">
        <v>70</v>
      </c>
      <c r="G18" s="49" t="s">
        <v>296</v>
      </c>
      <c r="H18" s="49" t="s">
        <v>57</v>
      </c>
      <c r="I18" s="49" t="s">
        <v>57</v>
      </c>
      <c r="J18" s="49" t="s">
        <v>238</v>
      </c>
      <c r="K18" s="49"/>
      <c r="L18" s="50"/>
      <c r="M18" s="49"/>
      <c r="N18" s="49" t="s">
        <v>72</v>
      </c>
      <c r="O18" s="49"/>
      <c r="P18" s="50"/>
      <c r="Q18" s="52"/>
      <c r="R18" s="36"/>
    </row>
    <row r="19" spans="1:18" s="47" customFormat="1" ht="12" x14ac:dyDescent="0.2">
      <c r="A19" s="104">
        <v>63</v>
      </c>
      <c r="B19" s="48" t="s">
        <v>154</v>
      </c>
      <c r="C19" s="49" t="s">
        <v>155</v>
      </c>
      <c r="D19" s="50">
        <v>36823</v>
      </c>
      <c r="E19" s="51" t="s">
        <v>156</v>
      </c>
      <c r="F19" s="49" t="s">
        <v>70</v>
      </c>
      <c r="G19" s="49" t="s">
        <v>121</v>
      </c>
      <c r="H19" s="49" t="s">
        <v>46</v>
      </c>
      <c r="I19" s="49" t="s">
        <v>46</v>
      </c>
      <c r="J19" s="49" t="s">
        <v>157</v>
      </c>
      <c r="K19" s="49"/>
      <c r="L19" s="50"/>
      <c r="M19" s="49"/>
      <c r="N19" s="49" t="s">
        <v>46</v>
      </c>
      <c r="O19" s="49"/>
      <c r="P19" s="50"/>
      <c r="Q19" s="52"/>
      <c r="R19" s="36"/>
    </row>
    <row r="20" spans="1:18" s="47" customFormat="1" ht="12" x14ac:dyDescent="0.2">
      <c r="A20" s="104">
        <v>660</v>
      </c>
      <c r="B20" s="48" t="s">
        <v>626</v>
      </c>
      <c r="C20" s="49" t="s">
        <v>627</v>
      </c>
      <c r="D20" s="50">
        <v>45229</v>
      </c>
      <c r="E20" s="51" t="s">
        <v>1564</v>
      </c>
      <c r="F20" s="49" t="s">
        <v>70</v>
      </c>
      <c r="G20" s="49" t="s">
        <v>581</v>
      </c>
      <c r="H20" s="49" t="s">
        <v>223</v>
      </c>
      <c r="I20" s="49" t="s">
        <v>223</v>
      </c>
      <c r="J20" s="49" t="s">
        <v>221</v>
      </c>
      <c r="K20" s="49"/>
      <c r="L20" s="50"/>
      <c r="M20" s="49"/>
      <c r="N20" s="49" t="s">
        <v>581</v>
      </c>
      <c r="O20" s="49"/>
      <c r="P20" s="50"/>
      <c r="Q20" s="52"/>
      <c r="R20" s="36"/>
    </row>
    <row r="21" spans="1:18" s="47" customFormat="1" ht="12" x14ac:dyDescent="0.2">
      <c r="A21" s="104">
        <v>352</v>
      </c>
      <c r="B21" s="48" t="s">
        <v>323</v>
      </c>
      <c r="C21" s="49" t="s">
        <v>324</v>
      </c>
      <c r="D21" s="50">
        <v>43913</v>
      </c>
      <c r="E21" s="51" t="s">
        <v>325</v>
      </c>
      <c r="F21" s="49" t="s">
        <v>70</v>
      </c>
      <c r="G21" s="49" t="s">
        <v>1780</v>
      </c>
      <c r="H21" s="49" t="s">
        <v>46</v>
      </c>
      <c r="I21" s="49" t="s">
        <v>46</v>
      </c>
      <c r="J21" s="49" t="s">
        <v>187</v>
      </c>
      <c r="K21" s="49"/>
      <c r="L21" s="50"/>
      <c r="M21" s="49"/>
      <c r="N21" s="49" t="s">
        <v>46</v>
      </c>
      <c r="O21" s="49"/>
      <c r="P21" s="50"/>
      <c r="Q21" s="52"/>
      <c r="R21" s="36"/>
    </row>
    <row r="22" spans="1:18" s="47" customFormat="1" ht="12" x14ac:dyDescent="0.2">
      <c r="A22" s="104">
        <v>245</v>
      </c>
      <c r="B22" s="48" t="s">
        <v>246</v>
      </c>
      <c r="C22" s="49" t="s">
        <v>247</v>
      </c>
      <c r="D22" s="50">
        <v>42435</v>
      </c>
      <c r="E22" s="51" t="s">
        <v>1016</v>
      </c>
      <c r="F22" s="49" t="s">
        <v>70</v>
      </c>
      <c r="G22" s="49" t="s">
        <v>158</v>
      </c>
      <c r="H22" s="49" t="s">
        <v>46</v>
      </c>
      <c r="I22" s="49" t="s">
        <v>46</v>
      </c>
      <c r="J22" s="49" t="s">
        <v>187</v>
      </c>
      <c r="K22" s="49"/>
      <c r="L22" s="50"/>
      <c r="M22" s="49"/>
      <c r="N22" s="49" t="s">
        <v>46</v>
      </c>
      <c r="O22" s="49"/>
      <c r="P22" s="50"/>
      <c r="Q22" s="52" t="s">
        <v>1798</v>
      </c>
      <c r="R22" s="36"/>
    </row>
    <row r="23" spans="1:18" s="47" customFormat="1" ht="12" x14ac:dyDescent="0.2">
      <c r="A23" s="104">
        <v>690</v>
      </c>
      <c r="B23" s="48" t="s">
        <v>687</v>
      </c>
      <c r="C23" s="49" t="s">
        <v>688</v>
      </c>
      <c r="D23" s="50">
        <v>45474</v>
      </c>
      <c r="E23" s="51" t="s">
        <v>594</v>
      </c>
      <c r="F23" s="49" t="s">
        <v>70</v>
      </c>
      <c r="G23" s="49" t="s">
        <v>118</v>
      </c>
      <c r="H23" s="49" t="s">
        <v>59</v>
      </c>
      <c r="I23" s="49" t="s">
        <v>59</v>
      </c>
      <c r="J23" s="49" t="s">
        <v>1665</v>
      </c>
      <c r="K23" s="49"/>
      <c r="L23" s="50"/>
      <c r="M23" s="49"/>
      <c r="N23" s="49" t="s">
        <v>1666</v>
      </c>
      <c r="O23" s="49"/>
      <c r="P23" s="50"/>
      <c r="Q23" s="52"/>
      <c r="R23" s="36"/>
    </row>
    <row r="24" spans="1:18" s="47" customFormat="1" ht="12" x14ac:dyDescent="0.2">
      <c r="A24" s="104">
        <v>696</v>
      </c>
      <c r="B24" s="48" t="s">
        <v>699</v>
      </c>
      <c r="C24" s="49" t="s">
        <v>700</v>
      </c>
      <c r="D24" s="50">
        <v>45488</v>
      </c>
      <c r="E24" s="51" t="s">
        <v>206</v>
      </c>
      <c r="F24" s="49" t="s">
        <v>70</v>
      </c>
      <c r="G24" s="49" t="s">
        <v>122</v>
      </c>
      <c r="H24" s="49" t="s">
        <v>59</v>
      </c>
      <c r="I24" s="49" t="s">
        <v>59</v>
      </c>
      <c r="J24" s="49" t="s">
        <v>536</v>
      </c>
      <c r="K24" s="49"/>
      <c r="L24" s="50"/>
      <c r="M24" s="49"/>
      <c r="N24" s="49" t="s">
        <v>1666</v>
      </c>
      <c r="O24" s="49"/>
      <c r="P24" s="50"/>
      <c r="Q24" s="52"/>
      <c r="R24" s="36"/>
    </row>
    <row r="25" spans="1:18" s="47" customFormat="1" ht="12" x14ac:dyDescent="0.2">
      <c r="A25" s="104">
        <v>566</v>
      </c>
      <c r="B25" s="48" t="s">
        <v>530</v>
      </c>
      <c r="C25" s="49" t="s">
        <v>531</v>
      </c>
      <c r="D25" s="50">
        <v>44879</v>
      </c>
      <c r="E25" s="51" t="s">
        <v>318</v>
      </c>
      <c r="F25" s="49" t="s">
        <v>70</v>
      </c>
      <c r="G25" s="49" t="s">
        <v>122</v>
      </c>
      <c r="H25" s="49" t="s">
        <v>57</v>
      </c>
      <c r="I25" s="49" t="s">
        <v>57</v>
      </c>
      <c r="J25" s="49" t="s">
        <v>536</v>
      </c>
      <c r="K25" s="49"/>
      <c r="L25" s="50"/>
      <c r="M25" s="49"/>
      <c r="N25" s="49" t="s">
        <v>72</v>
      </c>
      <c r="O25" s="49"/>
      <c r="P25" s="50"/>
      <c r="Q25" s="52"/>
      <c r="R25" s="36"/>
    </row>
    <row r="26" spans="1:18" s="47" customFormat="1" ht="12" x14ac:dyDescent="0.2">
      <c r="A26" s="104">
        <v>593</v>
      </c>
      <c r="B26" s="48" t="s">
        <v>569</v>
      </c>
      <c r="C26" s="49" t="s">
        <v>570</v>
      </c>
      <c r="D26" s="50">
        <v>44971</v>
      </c>
      <c r="E26" s="51" t="s">
        <v>571</v>
      </c>
      <c r="F26" s="49" t="s">
        <v>70</v>
      </c>
      <c r="G26" s="49" t="s">
        <v>55</v>
      </c>
      <c r="H26" s="49" t="s">
        <v>55</v>
      </c>
      <c r="I26" s="49" t="s">
        <v>55</v>
      </c>
      <c r="J26" s="49" t="s">
        <v>329</v>
      </c>
      <c r="K26" s="49"/>
      <c r="L26" s="50"/>
      <c r="M26" s="49"/>
      <c r="N26" s="49" t="s">
        <v>55</v>
      </c>
      <c r="O26" s="49"/>
      <c r="P26" s="50"/>
      <c r="Q26" s="52"/>
      <c r="R26" s="36"/>
    </row>
    <row r="27" spans="1:18" s="47" customFormat="1" ht="12" x14ac:dyDescent="0.2">
      <c r="A27" s="104">
        <v>203</v>
      </c>
      <c r="B27" s="48" t="s">
        <v>229</v>
      </c>
      <c r="C27" s="49" t="s">
        <v>230</v>
      </c>
      <c r="D27" s="50">
        <v>41715</v>
      </c>
      <c r="E27" s="51" t="s">
        <v>169</v>
      </c>
      <c r="F27" s="49" t="s">
        <v>70</v>
      </c>
      <c r="G27" s="49" t="s">
        <v>120</v>
      </c>
      <c r="H27" s="49" t="s">
        <v>57</v>
      </c>
      <c r="I27" s="49" t="s">
        <v>57</v>
      </c>
      <c r="J27" s="49" t="s">
        <v>231</v>
      </c>
      <c r="K27" s="49"/>
      <c r="L27" s="50"/>
      <c r="M27" s="49"/>
      <c r="N27" s="49" t="s">
        <v>72</v>
      </c>
      <c r="O27" s="49"/>
      <c r="P27" s="50"/>
      <c r="Q27" s="52"/>
      <c r="R27" s="36"/>
    </row>
    <row r="28" spans="1:18" s="47" customFormat="1" ht="12" customHeight="1" x14ac:dyDescent="0.2">
      <c r="A28" s="104">
        <v>523</v>
      </c>
      <c r="B28" s="48" t="s">
        <v>495</v>
      </c>
      <c r="C28" s="49" t="s">
        <v>496</v>
      </c>
      <c r="D28" s="50">
        <v>44823</v>
      </c>
      <c r="E28" s="51" t="s">
        <v>1667</v>
      </c>
      <c r="F28" s="49" t="s">
        <v>70</v>
      </c>
      <c r="G28" s="49" t="s">
        <v>120</v>
      </c>
      <c r="H28" s="49" t="s">
        <v>61</v>
      </c>
      <c r="I28" s="49" t="s">
        <v>61</v>
      </c>
      <c r="J28" s="49" t="s">
        <v>314</v>
      </c>
      <c r="K28" s="49"/>
      <c r="L28" s="50"/>
      <c r="M28" s="49"/>
      <c r="N28" s="49" t="s">
        <v>175</v>
      </c>
      <c r="O28" s="49"/>
      <c r="P28" s="50"/>
      <c r="Q28" s="52" t="s">
        <v>497</v>
      </c>
      <c r="R28" s="36"/>
    </row>
    <row r="29" spans="1:18" s="47" customFormat="1" ht="12" x14ac:dyDescent="0.2">
      <c r="A29" s="104">
        <v>542</v>
      </c>
      <c r="B29" s="53" t="s">
        <v>491</v>
      </c>
      <c r="C29" s="54" t="s">
        <v>492</v>
      </c>
      <c r="D29" s="50">
        <v>44816</v>
      </c>
      <c r="E29" s="55" t="s">
        <v>372</v>
      </c>
      <c r="F29" s="49" t="s">
        <v>72</v>
      </c>
      <c r="G29" s="49" t="s">
        <v>120</v>
      </c>
      <c r="H29" s="49" t="s">
        <v>57</v>
      </c>
      <c r="I29" s="49" t="s">
        <v>57</v>
      </c>
      <c r="J29" s="49" t="s">
        <v>1657</v>
      </c>
      <c r="K29" s="49"/>
      <c r="L29" s="50"/>
      <c r="M29" s="49"/>
      <c r="N29" s="49" t="s">
        <v>72</v>
      </c>
      <c r="O29" s="49"/>
      <c r="P29" s="50"/>
      <c r="Q29" s="52"/>
      <c r="R29" s="36"/>
    </row>
    <row r="30" spans="1:18" s="47" customFormat="1" ht="12" x14ac:dyDescent="0.2">
      <c r="A30" s="104">
        <v>672</v>
      </c>
      <c r="B30" s="53" t="s">
        <v>648</v>
      </c>
      <c r="C30" s="54" t="s">
        <v>649</v>
      </c>
      <c r="D30" s="50">
        <v>45334</v>
      </c>
      <c r="E30" s="55" t="s">
        <v>169</v>
      </c>
      <c r="F30" s="49" t="s">
        <v>72</v>
      </c>
      <c r="G30" s="49" t="s">
        <v>120</v>
      </c>
      <c r="H30" s="49" t="s">
        <v>57</v>
      </c>
      <c r="I30" s="49" t="s">
        <v>57</v>
      </c>
      <c r="J30" s="49" t="s">
        <v>1657</v>
      </c>
      <c r="K30" s="49"/>
      <c r="L30" s="50"/>
      <c r="M30" s="49"/>
      <c r="N30" s="49" t="s">
        <v>72</v>
      </c>
      <c r="O30" s="49"/>
      <c r="P30" s="50"/>
      <c r="Q30" s="52"/>
      <c r="R30" s="36"/>
    </row>
    <row r="31" spans="1:18" s="47" customFormat="1" ht="12" x14ac:dyDescent="0.2">
      <c r="A31" s="104">
        <v>553</v>
      </c>
      <c r="B31" s="48" t="s">
        <v>514</v>
      </c>
      <c r="C31" s="49" t="s">
        <v>515</v>
      </c>
      <c r="D31" s="50">
        <v>44859</v>
      </c>
      <c r="E31" s="51" t="s">
        <v>169</v>
      </c>
      <c r="F31" s="49" t="s">
        <v>70</v>
      </c>
      <c r="G31" s="49" t="s">
        <v>120</v>
      </c>
      <c r="H31" s="49" t="s">
        <v>46</v>
      </c>
      <c r="I31" s="49" t="s">
        <v>46</v>
      </c>
      <c r="J31" s="49" t="s">
        <v>1668</v>
      </c>
      <c r="K31" s="49"/>
      <c r="L31" s="50"/>
      <c r="M31" s="49"/>
      <c r="N31" s="49" t="s">
        <v>1669</v>
      </c>
      <c r="O31" s="49"/>
      <c r="P31" s="50"/>
      <c r="Q31" s="52"/>
      <c r="R31" s="36"/>
    </row>
    <row r="32" spans="1:18" s="47" customFormat="1" ht="12" x14ac:dyDescent="0.2">
      <c r="A32" s="104">
        <v>543</v>
      </c>
      <c r="B32" s="53" t="s">
        <v>487</v>
      </c>
      <c r="C32" s="54" t="s">
        <v>488</v>
      </c>
      <c r="D32" s="50">
        <v>44816</v>
      </c>
      <c r="E32" s="55" t="s">
        <v>489</v>
      </c>
      <c r="F32" s="49" t="s">
        <v>72</v>
      </c>
      <c r="G32" s="49" t="s">
        <v>347</v>
      </c>
      <c r="H32" s="49" t="s">
        <v>57</v>
      </c>
      <c r="I32" s="49" t="s">
        <v>57</v>
      </c>
      <c r="J32" s="49" t="s">
        <v>490</v>
      </c>
      <c r="K32" s="49"/>
      <c r="L32" s="50"/>
      <c r="M32" s="49"/>
      <c r="N32" s="49" t="s">
        <v>1670</v>
      </c>
      <c r="O32" s="49"/>
      <c r="P32" s="50"/>
      <c r="Q32" s="52"/>
      <c r="R32" s="36"/>
    </row>
    <row r="33" spans="1:18" s="47" customFormat="1" ht="12" x14ac:dyDescent="0.2">
      <c r="A33" s="104">
        <v>695</v>
      </c>
      <c r="B33" s="48" t="s">
        <v>697</v>
      </c>
      <c r="C33" s="49" t="s">
        <v>698</v>
      </c>
      <c r="D33" s="50">
        <v>45483</v>
      </c>
      <c r="E33" s="51" t="s">
        <v>588</v>
      </c>
      <c r="F33" s="49" t="s">
        <v>70</v>
      </c>
      <c r="G33" s="49" t="s">
        <v>1799</v>
      </c>
      <c r="H33" s="49" t="s">
        <v>46</v>
      </c>
      <c r="I33" s="49" t="s">
        <v>46</v>
      </c>
      <c r="J33" s="49" t="s">
        <v>387</v>
      </c>
      <c r="K33" s="49"/>
      <c r="L33" s="50"/>
      <c r="M33" s="49"/>
      <c r="N33" s="49" t="s">
        <v>46</v>
      </c>
      <c r="O33" s="49"/>
      <c r="P33" s="50"/>
      <c r="Q33" s="52"/>
      <c r="R33" s="36"/>
    </row>
    <row r="34" spans="1:18" s="47" customFormat="1" ht="12" x14ac:dyDescent="0.2">
      <c r="A34" s="104">
        <v>482</v>
      </c>
      <c r="B34" s="48" t="s">
        <v>438</v>
      </c>
      <c r="C34" s="49" t="s">
        <v>252</v>
      </c>
      <c r="D34" s="50">
        <v>44529</v>
      </c>
      <c r="E34" s="51" t="s">
        <v>206</v>
      </c>
      <c r="F34" s="49" t="s">
        <v>70</v>
      </c>
      <c r="G34" s="49" t="s">
        <v>122</v>
      </c>
      <c r="H34" s="49" t="s">
        <v>46</v>
      </c>
      <c r="I34" s="49" t="s">
        <v>46</v>
      </c>
      <c r="J34" s="49" t="s">
        <v>207</v>
      </c>
      <c r="K34" s="49"/>
      <c r="L34" s="50"/>
      <c r="M34" s="49"/>
      <c r="N34" s="49" t="s">
        <v>1671</v>
      </c>
      <c r="O34" s="49"/>
      <c r="P34" s="50"/>
      <c r="Q34" s="52"/>
      <c r="R34" s="36"/>
    </row>
    <row r="35" spans="1:18" s="47" customFormat="1" ht="12" x14ac:dyDescent="0.2">
      <c r="A35" s="104">
        <v>264</v>
      </c>
      <c r="B35" s="48" t="s">
        <v>251</v>
      </c>
      <c r="C35" s="49" t="s">
        <v>252</v>
      </c>
      <c r="D35" s="50">
        <v>42741</v>
      </c>
      <c r="E35" s="51" t="s">
        <v>169</v>
      </c>
      <c r="F35" s="49" t="s">
        <v>70</v>
      </c>
      <c r="G35" s="49" t="s">
        <v>120</v>
      </c>
      <c r="H35" s="49" t="s">
        <v>57</v>
      </c>
      <c r="I35" s="49" t="s">
        <v>57</v>
      </c>
      <c r="J35" s="49" t="s">
        <v>162</v>
      </c>
      <c r="K35" s="49"/>
      <c r="L35" s="50"/>
      <c r="M35" s="49"/>
      <c r="N35" s="49" t="s">
        <v>163</v>
      </c>
      <c r="O35" s="49"/>
      <c r="P35" s="50"/>
      <c r="Q35" s="52" t="s">
        <v>1773</v>
      </c>
      <c r="R35" s="36"/>
    </row>
    <row r="36" spans="1:18" s="47" customFormat="1" ht="12" x14ac:dyDescent="0.2">
      <c r="A36" s="104">
        <v>465</v>
      </c>
      <c r="B36" s="48" t="s">
        <v>436</v>
      </c>
      <c r="C36" s="49" t="s">
        <v>180</v>
      </c>
      <c r="D36" s="50">
        <v>44515</v>
      </c>
      <c r="E36" s="51" t="s">
        <v>372</v>
      </c>
      <c r="F36" s="49" t="s">
        <v>70</v>
      </c>
      <c r="G36" s="49" t="s">
        <v>120</v>
      </c>
      <c r="H36" s="49" t="s">
        <v>57</v>
      </c>
      <c r="I36" s="49" t="s">
        <v>57</v>
      </c>
      <c r="J36" s="49" t="s">
        <v>162</v>
      </c>
      <c r="K36" s="49"/>
      <c r="L36" s="50"/>
      <c r="M36" s="49"/>
      <c r="N36" s="49" t="s">
        <v>163</v>
      </c>
      <c r="O36" s="49"/>
      <c r="P36" s="50"/>
      <c r="Q36" s="52"/>
      <c r="R36" s="36"/>
    </row>
    <row r="37" spans="1:18" s="47" customFormat="1" ht="12" x14ac:dyDescent="0.2">
      <c r="A37" s="104">
        <v>115</v>
      </c>
      <c r="B37" s="48" t="s">
        <v>179</v>
      </c>
      <c r="C37" s="49" t="s">
        <v>180</v>
      </c>
      <c r="D37" s="50">
        <v>39630</v>
      </c>
      <c r="E37" s="51" t="s">
        <v>181</v>
      </c>
      <c r="F37" s="49" t="s">
        <v>70</v>
      </c>
      <c r="G37" s="49" t="s">
        <v>120</v>
      </c>
      <c r="H37" s="49" t="s">
        <v>59</v>
      </c>
      <c r="I37" s="49" t="s">
        <v>59</v>
      </c>
      <c r="J37" s="49" t="s">
        <v>1663</v>
      </c>
      <c r="K37" s="49"/>
      <c r="L37" s="50"/>
      <c r="M37" s="49"/>
      <c r="N37" s="49" t="s">
        <v>297</v>
      </c>
      <c r="O37" s="49"/>
      <c r="P37" s="50"/>
      <c r="Q37" s="52"/>
      <c r="R37" s="36"/>
    </row>
    <row r="38" spans="1:18" s="47" customFormat="1" ht="12" x14ac:dyDescent="0.2">
      <c r="A38" s="104">
        <v>546</v>
      </c>
      <c r="B38" s="48" t="s">
        <v>498</v>
      </c>
      <c r="C38" s="49" t="s">
        <v>499</v>
      </c>
      <c r="D38" s="50">
        <v>44823</v>
      </c>
      <c r="E38" s="51" t="s">
        <v>464</v>
      </c>
      <c r="F38" s="49" t="s">
        <v>70</v>
      </c>
      <c r="G38" s="49" t="s">
        <v>347</v>
      </c>
      <c r="H38" s="49" t="s">
        <v>57</v>
      </c>
      <c r="I38" s="49" t="s">
        <v>57</v>
      </c>
      <c r="J38" s="49" t="s">
        <v>1661</v>
      </c>
      <c r="K38" s="49"/>
      <c r="L38" s="50"/>
      <c r="M38" s="49"/>
      <c r="N38" s="49" t="s">
        <v>72</v>
      </c>
      <c r="O38" s="49"/>
      <c r="P38" s="50"/>
      <c r="Q38" s="52"/>
      <c r="R38" s="36"/>
    </row>
    <row r="39" spans="1:18" s="47" customFormat="1" ht="12" x14ac:dyDescent="0.2">
      <c r="A39" s="104">
        <v>585</v>
      </c>
      <c r="B39" s="56" t="s">
        <v>547</v>
      </c>
      <c r="C39" s="57" t="s">
        <v>548</v>
      </c>
      <c r="D39" s="58">
        <v>44963</v>
      </c>
      <c r="E39" s="57" t="s">
        <v>206</v>
      </c>
      <c r="F39" s="49" t="s">
        <v>73</v>
      </c>
      <c r="G39" s="49" t="s">
        <v>122</v>
      </c>
      <c r="H39" s="49" t="s">
        <v>59</v>
      </c>
      <c r="I39" s="49" t="s">
        <v>59</v>
      </c>
      <c r="J39" s="49" t="s">
        <v>400</v>
      </c>
      <c r="K39" s="49" t="s">
        <v>61</v>
      </c>
      <c r="L39" s="50">
        <v>45569</v>
      </c>
      <c r="M39" s="49" t="s">
        <v>549</v>
      </c>
      <c r="N39" s="49" t="s">
        <v>297</v>
      </c>
      <c r="O39" s="49" t="s">
        <v>175</v>
      </c>
      <c r="P39" s="50"/>
      <c r="Q39" s="52"/>
      <c r="R39" s="36"/>
    </row>
    <row r="40" spans="1:18" s="47" customFormat="1" ht="12" x14ac:dyDescent="0.2">
      <c r="A40" s="104">
        <v>419</v>
      </c>
      <c r="B40" s="48" t="s">
        <v>370</v>
      </c>
      <c r="C40" s="49" t="s">
        <v>371</v>
      </c>
      <c r="D40" s="50">
        <v>44336</v>
      </c>
      <c r="E40" s="51" t="s">
        <v>372</v>
      </c>
      <c r="F40" s="49" t="s">
        <v>70</v>
      </c>
      <c r="G40" s="49" t="s">
        <v>120</v>
      </c>
      <c r="H40" s="49" t="s">
        <v>57</v>
      </c>
      <c r="I40" s="49" t="s">
        <v>57</v>
      </c>
      <c r="J40" s="49" t="s">
        <v>231</v>
      </c>
      <c r="K40" s="49"/>
      <c r="L40" s="50"/>
      <c r="M40" s="49"/>
      <c r="N40" s="49" t="s">
        <v>72</v>
      </c>
      <c r="O40" s="49"/>
      <c r="P40" s="50"/>
      <c r="Q40" s="52"/>
      <c r="R40" s="36"/>
    </row>
    <row r="41" spans="1:18" s="47" customFormat="1" ht="12" x14ac:dyDescent="0.2">
      <c r="A41" s="104">
        <v>315</v>
      </c>
      <c r="B41" s="48" t="s">
        <v>303</v>
      </c>
      <c r="C41" s="49" t="s">
        <v>304</v>
      </c>
      <c r="D41" s="50">
        <v>43633</v>
      </c>
      <c r="E41" s="51" t="s">
        <v>305</v>
      </c>
      <c r="F41" s="49" t="s">
        <v>70</v>
      </c>
      <c r="G41" s="49" t="s">
        <v>272</v>
      </c>
      <c r="H41" s="49" t="s">
        <v>223</v>
      </c>
      <c r="I41" s="49" t="s">
        <v>223</v>
      </c>
      <c r="J41" s="49" t="s">
        <v>288</v>
      </c>
      <c r="K41" s="49"/>
      <c r="L41" s="50"/>
      <c r="M41" s="49"/>
      <c r="N41" s="49" t="s">
        <v>272</v>
      </c>
      <c r="O41" s="49"/>
      <c r="P41" s="50"/>
      <c r="Q41" s="52"/>
      <c r="R41" s="36"/>
    </row>
    <row r="42" spans="1:18" s="47" customFormat="1" ht="12" x14ac:dyDescent="0.2">
      <c r="A42" s="104" t="e">
        <v>#N/A</v>
      </c>
      <c r="B42" s="48" t="s">
        <v>712</v>
      </c>
      <c r="C42" s="49" t="s">
        <v>713</v>
      </c>
      <c r="D42" s="50">
        <v>45516</v>
      </c>
      <c r="E42" s="51" t="s">
        <v>206</v>
      </c>
      <c r="F42" s="49" t="s">
        <v>70</v>
      </c>
      <c r="G42" s="49" t="s">
        <v>122</v>
      </c>
      <c r="H42" s="49" t="s">
        <v>61</v>
      </c>
      <c r="I42" s="49" t="s">
        <v>61</v>
      </c>
      <c r="J42" s="49" t="s">
        <v>400</v>
      </c>
      <c r="K42" s="49"/>
      <c r="L42" s="50"/>
      <c r="M42" s="49"/>
      <c r="N42" s="49"/>
      <c r="O42" s="49"/>
      <c r="P42" s="50"/>
      <c r="Q42" s="52"/>
      <c r="R42" s="36"/>
    </row>
    <row r="43" spans="1:18" s="47" customFormat="1" ht="12" x14ac:dyDescent="0.2">
      <c r="A43" s="104">
        <v>685</v>
      </c>
      <c r="B43" s="48" t="s">
        <v>676</v>
      </c>
      <c r="C43" s="49" t="s">
        <v>677</v>
      </c>
      <c r="D43" s="50">
        <v>45425</v>
      </c>
      <c r="E43" s="51" t="s">
        <v>206</v>
      </c>
      <c r="F43" s="49" t="s">
        <v>72</v>
      </c>
      <c r="G43" s="49" t="s">
        <v>122</v>
      </c>
      <c r="H43" s="49" t="s">
        <v>57</v>
      </c>
      <c r="I43" s="49" t="s">
        <v>57</v>
      </c>
      <c r="J43" s="49" t="s">
        <v>1657</v>
      </c>
      <c r="K43" s="49"/>
      <c r="L43" s="50"/>
      <c r="M43" s="49"/>
      <c r="N43" s="49" t="s">
        <v>72</v>
      </c>
      <c r="O43" s="49"/>
      <c r="P43" s="50"/>
      <c r="Q43" s="52"/>
      <c r="R43" s="36"/>
    </row>
    <row r="44" spans="1:18" s="47" customFormat="1" ht="12" x14ac:dyDescent="0.2">
      <c r="A44" s="104">
        <v>65</v>
      </c>
      <c r="B44" s="48" t="s">
        <v>159</v>
      </c>
      <c r="C44" s="49" t="s">
        <v>160</v>
      </c>
      <c r="D44" s="50">
        <v>36842</v>
      </c>
      <c r="E44" s="51" t="s">
        <v>161</v>
      </c>
      <c r="F44" s="49" t="s">
        <v>70</v>
      </c>
      <c r="G44" s="49" t="s">
        <v>120</v>
      </c>
      <c r="H44" s="49" t="s">
        <v>57</v>
      </c>
      <c r="I44" s="49" t="s">
        <v>57</v>
      </c>
      <c r="J44" s="49" t="s">
        <v>162</v>
      </c>
      <c r="K44" s="49"/>
      <c r="L44" s="50"/>
      <c r="M44" s="49"/>
      <c r="N44" s="49" t="s">
        <v>617</v>
      </c>
      <c r="O44" s="49"/>
      <c r="P44" s="50"/>
      <c r="Q44" s="52"/>
      <c r="R44" s="36"/>
    </row>
    <row r="45" spans="1:18" s="47" customFormat="1" ht="12" x14ac:dyDescent="0.2">
      <c r="A45" s="104">
        <v>576</v>
      </c>
      <c r="B45" s="48" t="s">
        <v>610</v>
      </c>
      <c r="C45" s="49" t="s">
        <v>611</v>
      </c>
      <c r="D45" s="50">
        <v>45170</v>
      </c>
      <c r="E45" s="51" t="s">
        <v>206</v>
      </c>
      <c r="F45" s="49" t="s">
        <v>70</v>
      </c>
      <c r="G45" s="49" t="s">
        <v>122</v>
      </c>
      <c r="H45" s="49" t="s">
        <v>57</v>
      </c>
      <c r="I45" s="49" t="s">
        <v>57</v>
      </c>
      <c r="J45" s="49" t="s">
        <v>162</v>
      </c>
      <c r="K45" s="49"/>
      <c r="L45" s="50"/>
      <c r="M45" s="49"/>
      <c r="N45" s="49" t="s">
        <v>239</v>
      </c>
      <c r="O45" s="49"/>
      <c r="P45" s="50"/>
      <c r="Q45" s="52"/>
      <c r="R45" s="36"/>
    </row>
    <row r="46" spans="1:18" s="47" customFormat="1" ht="12" x14ac:dyDescent="0.2">
      <c r="A46" s="104">
        <v>360</v>
      </c>
      <c r="B46" s="48" t="s">
        <v>331</v>
      </c>
      <c r="C46" s="49" t="s">
        <v>332</v>
      </c>
      <c r="D46" s="50">
        <v>44027</v>
      </c>
      <c r="E46" s="51" t="s">
        <v>333</v>
      </c>
      <c r="F46" s="49" t="s">
        <v>70</v>
      </c>
      <c r="G46" s="49" t="s">
        <v>55</v>
      </c>
      <c r="H46" s="49" t="s">
        <v>55</v>
      </c>
      <c r="I46" s="49" t="s">
        <v>55</v>
      </c>
      <c r="J46" s="49" t="s">
        <v>334</v>
      </c>
      <c r="K46" s="49"/>
      <c r="L46" s="50"/>
      <c r="M46" s="49"/>
      <c r="N46" s="49" t="s">
        <v>55</v>
      </c>
      <c r="O46" s="49"/>
      <c r="P46" s="50"/>
      <c r="Q46" s="52"/>
      <c r="R46" s="36"/>
    </row>
    <row r="47" spans="1:18" s="47" customFormat="1" ht="12" x14ac:dyDescent="0.2">
      <c r="A47" s="104">
        <v>439</v>
      </c>
      <c r="B47" s="48" t="s">
        <v>401</v>
      </c>
      <c r="C47" s="49" t="s">
        <v>402</v>
      </c>
      <c r="D47" s="50">
        <v>44391</v>
      </c>
      <c r="E47" s="51" t="s">
        <v>594</v>
      </c>
      <c r="F47" s="49" t="s">
        <v>70</v>
      </c>
      <c r="G47" s="49" t="s">
        <v>118</v>
      </c>
      <c r="H47" s="101" t="s">
        <v>59</v>
      </c>
      <c r="I47" s="49" t="s">
        <v>59</v>
      </c>
      <c r="J47" s="49" t="s">
        <v>174</v>
      </c>
      <c r="K47" s="49" t="s">
        <v>61</v>
      </c>
      <c r="L47" s="50">
        <v>45480</v>
      </c>
      <c r="M47" s="49" t="s">
        <v>404</v>
      </c>
      <c r="N47" s="49" t="s">
        <v>297</v>
      </c>
      <c r="O47" s="49" t="s">
        <v>175</v>
      </c>
      <c r="P47" s="50"/>
      <c r="Q47" s="52" t="s">
        <v>1673</v>
      </c>
      <c r="R47" s="36"/>
    </row>
    <row r="48" spans="1:18" s="47" customFormat="1" ht="12" x14ac:dyDescent="0.2">
      <c r="A48" s="104">
        <v>202</v>
      </c>
      <c r="B48" s="48" t="s">
        <v>224</v>
      </c>
      <c r="C48" s="49" t="s">
        <v>225</v>
      </c>
      <c r="D48" s="50">
        <v>41701</v>
      </c>
      <c r="E48" s="51" t="s">
        <v>226</v>
      </c>
      <c r="F48" s="49" t="s">
        <v>70</v>
      </c>
      <c r="G48" s="49" t="s">
        <v>227</v>
      </c>
      <c r="H48" s="49" t="s">
        <v>223</v>
      </c>
      <c r="I48" s="49" t="s">
        <v>223</v>
      </c>
      <c r="J48" s="49" t="s">
        <v>221</v>
      </c>
      <c r="K48" s="49"/>
      <c r="L48" s="50"/>
      <c r="M48" s="49"/>
      <c r="N48" s="49" t="s">
        <v>227</v>
      </c>
      <c r="O48" s="49"/>
      <c r="P48" s="50"/>
      <c r="Q48" s="52"/>
      <c r="R48" s="36"/>
    </row>
    <row r="49" spans="1:18" s="47" customFormat="1" ht="12" x14ac:dyDescent="0.2">
      <c r="A49" s="104">
        <v>306</v>
      </c>
      <c r="B49" s="48" t="s">
        <v>196</v>
      </c>
      <c r="C49" s="49" t="s">
        <v>295</v>
      </c>
      <c r="D49" s="50">
        <v>43598</v>
      </c>
      <c r="E49" s="51" t="s">
        <v>237</v>
      </c>
      <c r="F49" s="49" t="s">
        <v>70</v>
      </c>
      <c r="G49" s="49" t="s">
        <v>296</v>
      </c>
      <c r="H49" s="49" t="s">
        <v>59</v>
      </c>
      <c r="I49" s="49" t="s">
        <v>59</v>
      </c>
      <c r="J49" s="49" t="s">
        <v>194</v>
      </c>
      <c r="K49" s="49"/>
      <c r="L49" s="50"/>
      <c r="M49" s="49"/>
      <c r="N49" s="49" t="s">
        <v>302</v>
      </c>
      <c r="O49" s="49"/>
      <c r="P49" s="50"/>
      <c r="Q49" s="52"/>
      <c r="R49" s="36"/>
    </row>
    <row r="50" spans="1:18" s="47" customFormat="1" ht="12" x14ac:dyDescent="0.2">
      <c r="A50" s="104">
        <v>671</v>
      </c>
      <c r="B50" s="53" t="s">
        <v>643</v>
      </c>
      <c r="C50" s="54" t="s">
        <v>644</v>
      </c>
      <c r="D50" s="50">
        <v>45313</v>
      </c>
      <c r="E50" s="55" t="s">
        <v>645</v>
      </c>
      <c r="F50" s="49" t="s">
        <v>73</v>
      </c>
      <c r="G50" s="49" t="s">
        <v>347</v>
      </c>
      <c r="H50" s="49" t="s">
        <v>61</v>
      </c>
      <c r="I50" s="49" t="s">
        <v>61</v>
      </c>
      <c r="J50" s="49" t="s">
        <v>1674</v>
      </c>
      <c r="K50" s="49"/>
      <c r="L50" s="50"/>
      <c r="M50" s="49"/>
      <c r="N50" s="49" t="s">
        <v>419</v>
      </c>
      <c r="O50" s="49"/>
      <c r="P50" s="50"/>
      <c r="Q50" s="52"/>
      <c r="R50" s="36"/>
    </row>
    <row r="51" spans="1:18" s="47" customFormat="1" ht="12" x14ac:dyDescent="0.2">
      <c r="A51" s="104">
        <v>418</v>
      </c>
      <c r="B51" s="48" t="s">
        <v>375</v>
      </c>
      <c r="C51" s="49" t="s">
        <v>376</v>
      </c>
      <c r="D51" s="50">
        <v>44336</v>
      </c>
      <c r="E51" s="51" t="s">
        <v>372</v>
      </c>
      <c r="F51" s="49" t="s">
        <v>1679</v>
      </c>
      <c r="G51" s="49" t="s">
        <v>120</v>
      </c>
      <c r="H51" s="49" t="s">
        <v>57</v>
      </c>
      <c r="I51" s="49" t="s">
        <v>57</v>
      </c>
      <c r="J51" s="49" t="s">
        <v>162</v>
      </c>
      <c r="K51" s="49"/>
      <c r="L51" s="50"/>
      <c r="M51" s="49"/>
      <c r="N51" s="49" t="s">
        <v>239</v>
      </c>
      <c r="O51" s="49"/>
      <c r="P51" s="50"/>
      <c r="Q51" s="52" t="s">
        <v>1800</v>
      </c>
      <c r="R51" s="36"/>
    </row>
    <row r="52" spans="1:18" s="47" customFormat="1" ht="12" x14ac:dyDescent="0.2">
      <c r="A52" s="104">
        <v>522</v>
      </c>
      <c r="B52" s="48" t="s">
        <v>653</v>
      </c>
      <c r="C52" s="49" t="s">
        <v>654</v>
      </c>
      <c r="D52" s="50">
        <v>45365</v>
      </c>
      <c r="E52" s="51" t="s">
        <v>1033</v>
      </c>
      <c r="F52" s="49" t="s">
        <v>70</v>
      </c>
      <c r="G52" s="49" t="s">
        <v>347</v>
      </c>
      <c r="H52" s="49" t="s">
        <v>61</v>
      </c>
      <c r="I52" s="49" t="s">
        <v>61</v>
      </c>
      <c r="J52" s="49" t="s">
        <v>174</v>
      </c>
      <c r="K52" s="49"/>
      <c r="L52" s="50"/>
      <c r="M52" s="49"/>
      <c r="N52" s="49" t="s">
        <v>419</v>
      </c>
      <c r="O52" s="49"/>
      <c r="P52" s="50"/>
      <c r="Q52" s="52" t="s">
        <v>1675</v>
      </c>
      <c r="R52" s="36"/>
    </row>
    <row r="53" spans="1:18" s="47" customFormat="1" ht="12" x14ac:dyDescent="0.2">
      <c r="A53" s="104">
        <v>683</v>
      </c>
      <c r="B53" s="48" t="s">
        <v>671</v>
      </c>
      <c r="C53" s="49" t="s">
        <v>672</v>
      </c>
      <c r="D53" s="50">
        <v>45412</v>
      </c>
      <c r="E53" s="51" t="s">
        <v>673</v>
      </c>
      <c r="F53" s="49" t="s">
        <v>70</v>
      </c>
      <c r="G53" s="49" t="s">
        <v>1796</v>
      </c>
      <c r="H53" s="49" t="s">
        <v>46</v>
      </c>
      <c r="I53" s="49" t="s">
        <v>46</v>
      </c>
      <c r="J53" s="49" t="s">
        <v>1654</v>
      </c>
      <c r="K53" s="49"/>
      <c r="L53" s="50"/>
      <c r="M53" s="49"/>
      <c r="N53" s="49" t="s">
        <v>1655</v>
      </c>
      <c r="O53" s="49"/>
      <c r="P53" s="50"/>
      <c r="Q53" s="52"/>
      <c r="R53" s="36"/>
    </row>
    <row r="54" spans="1:18" s="47" customFormat="1" ht="12" x14ac:dyDescent="0.2">
      <c r="A54" s="104">
        <v>359</v>
      </c>
      <c r="B54" s="48" t="s">
        <v>326</v>
      </c>
      <c r="C54" s="49" t="s">
        <v>327</v>
      </c>
      <c r="D54" s="50">
        <v>44006</v>
      </c>
      <c r="E54" s="51" t="s">
        <v>328</v>
      </c>
      <c r="F54" s="49" t="s">
        <v>70</v>
      </c>
      <c r="G54" s="49" t="s">
        <v>55</v>
      </c>
      <c r="H54" s="49" t="s">
        <v>55</v>
      </c>
      <c r="I54" s="49" t="s">
        <v>55</v>
      </c>
      <c r="J54" s="49" t="s">
        <v>329</v>
      </c>
      <c r="K54" s="49"/>
      <c r="L54" s="50"/>
      <c r="M54" s="49"/>
      <c r="N54" s="49" t="s">
        <v>55</v>
      </c>
      <c r="O54" s="49"/>
      <c r="P54" s="50"/>
      <c r="Q54" s="52"/>
      <c r="R54" s="36"/>
    </row>
    <row r="55" spans="1:18" s="47" customFormat="1" ht="12" x14ac:dyDescent="0.2">
      <c r="A55" s="104">
        <v>460</v>
      </c>
      <c r="B55" s="48" t="s">
        <v>433</v>
      </c>
      <c r="C55" s="49" t="s">
        <v>434</v>
      </c>
      <c r="D55" s="50">
        <v>44515</v>
      </c>
      <c r="E55" s="51" t="s">
        <v>318</v>
      </c>
      <c r="F55" s="49" t="s">
        <v>70</v>
      </c>
      <c r="G55" s="49" t="s">
        <v>122</v>
      </c>
      <c r="H55" s="49" t="s">
        <v>57</v>
      </c>
      <c r="I55" s="49" t="s">
        <v>57</v>
      </c>
      <c r="J55" s="49" t="s">
        <v>536</v>
      </c>
      <c r="K55" s="49"/>
      <c r="L55" s="50"/>
      <c r="M55" s="49"/>
      <c r="N55" s="49" t="s">
        <v>72</v>
      </c>
      <c r="O55" s="49"/>
      <c r="P55" s="50"/>
      <c r="Q55" s="52"/>
      <c r="R55" s="36"/>
    </row>
    <row r="56" spans="1:18" s="47" customFormat="1" ht="12" x14ac:dyDescent="0.2">
      <c r="A56" s="104">
        <v>348</v>
      </c>
      <c r="B56" s="48" t="s">
        <v>319</v>
      </c>
      <c r="C56" s="49" t="s">
        <v>320</v>
      </c>
      <c r="D56" s="50">
        <v>43892</v>
      </c>
      <c r="E56" s="51" t="s">
        <v>169</v>
      </c>
      <c r="F56" s="49" t="s">
        <v>70</v>
      </c>
      <c r="G56" s="49" t="s">
        <v>120</v>
      </c>
      <c r="H56" s="49" t="s">
        <v>46</v>
      </c>
      <c r="I56" s="49" t="s">
        <v>46</v>
      </c>
      <c r="J56" s="49" t="s">
        <v>1668</v>
      </c>
      <c r="K56" s="49"/>
      <c r="L56" s="50"/>
      <c r="M56" s="49"/>
      <c r="N56" s="49" t="s">
        <v>1671</v>
      </c>
      <c r="O56" s="49"/>
      <c r="P56" s="50"/>
      <c r="Q56" s="52"/>
      <c r="R56" s="36"/>
    </row>
    <row r="57" spans="1:18" s="47" customFormat="1" ht="12" x14ac:dyDescent="0.2">
      <c r="A57" s="104" t="e">
        <v>#N/A</v>
      </c>
      <c r="B57" s="48" t="s">
        <v>641</v>
      </c>
      <c r="C57" s="57" t="s">
        <v>642</v>
      </c>
      <c r="D57" s="58">
        <v>45306</v>
      </c>
      <c r="E57" s="57" t="s">
        <v>318</v>
      </c>
      <c r="F57" s="49" t="s">
        <v>73</v>
      </c>
      <c r="G57" s="49" t="s">
        <v>122</v>
      </c>
      <c r="H57" s="49" t="s">
        <v>59</v>
      </c>
      <c r="I57" s="49" t="s">
        <v>59</v>
      </c>
      <c r="J57" s="49" t="s">
        <v>400</v>
      </c>
      <c r="K57" s="49" t="s">
        <v>61</v>
      </c>
      <c r="L57" s="50">
        <v>45569</v>
      </c>
      <c r="M57" s="49" t="s">
        <v>549</v>
      </c>
      <c r="N57" s="49" t="s">
        <v>297</v>
      </c>
      <c r="O57" s="49" t="s">
        <v>175</v>
      </c>
      <c r="P57" s="50"/>
      <c r="Q57" s="52"/>
      <c r="R57" s="36"/>
    </row>
    <row r="58" spans="1:18" s="47" customFormat="1" ht="12" x14ac:dyDescent="0.2">
      <c r="A58" s="104">
        <v>636</v>
      </c>
      <c r="B58" s="48" t="s">
        <v>559</v>
      </c>
      <c r="C58" s="49" t="s">
        <v>560</v>
      </c>
      <c r="D58" s="50">
        <v>44967</v>
      </c>
      <c r="E58" s="51" t="s">
        <v>1676</v>
      </c>
      <c r="F58" s="49" t="s">
        <v>70</v>
      </c>
      <c r="G58" s="49" t="s">
        <v>1801</v>
      </c>
      <c r="H58" s="49" t="s">
        <v>223</v>
      </c>
      <c r="I58" s="49" t="s">
        <v>223</v>
      </c>
      <c r="J58" s="49" t="s">
        <v>568</v>
      </c>
      <c r="K58" s="49"/>
      <c r="L58" s="50"/>
      <c r="M58" s="49"/>
      <c r="N58" s="49" t="s">
        <v>222</v>
      </c>
      <c r="O58" s="49"/>
      <c r="P58" s="50"/>
      <c r="Q58" s="52"/>
      <c r="R58" s="36"/>
    </row>
    <row r="59" spans="1:18" s="47" customFormat="1" ht="12" x14ac:dyDescent="0.2">
      <c r="A59" s="104">
        <v>597</v>
      </c>
      <c r="B59" s="53" t="s">
        <v>575</v>
      </c>
      <c r="C59" s="54" t="s">
        <v>576</v>
      </c>
      <c r="D59" s="50">
        <v>45027</v>
      </c>
      <c r="E59" s="55" t="s">
        <v>577</v>
      </c>
      <c r="F59" s="49" t="s">
        <v>73</v>
      </c>
      <c r="G59" s="49" t="s">
        <v>1787</v>
      </c>
      <c r="H59" s="49" t="s">
        <v>61</v>
      </c>
      <c r="I59" s="49" t="s">
        <v>61</v>
      </c>
      <c r="J59" s="49" t="s">
        <v>667</v>
      </c>
      <c r="K59" s="49"/>
      <c r="L59" s="50"/>
      <c r="M59" s="49"/>
      <c r="N59" s="49" t="s">
        <v>668</v>
      </c>
      <c r="O59" s="49"/>
      <c r="P59" s="50"/>
      <c r="Q59" s="52"/>
      <c r="R59" s="36"/>
    </row>
    <row r="60" spans="1:18" s="47" customFormat="1" ht="12" x14ac:dyDescent="0.2">
      <c r="A60" s="104">
        <v>590</v>
      </c>
      <c r="B60" s="56" t="s">
        <v>555</v>
      </c>
      <c r="C60" s="57" t="s">
        <v>556</v>
      </c>
      <c r="D60" s="58">
        <v>44963</v>
      </c>
      <c r="E60" s="57" t="s">
        <v>169</v>
      </c>
      <c r="F60" s="49" t="s">
        <v>73</v>
      </c>
      <c r="G60" s="49" t="s">
        <v>120</v>
      </c>
      <c r="H60" s="49" t="s">
        <v>59</v>
      </c>
      <c r="I60" s="49" t="s">
        <v>59</v>
      </c>
      <c r="J60" s="49" t="s">
        <v>667</v>
      </c>
      <c r="K60" s="49" t="s">
        <v>61</v>
      </c>
      <c r="L60" s="50">
        <v>45569</v>
      </c>
      <c r="M60" s="49" t="s">
        <v>549</v>
      </c>
      <c r="N60" s="49" t="s">
        <v>297</v>
      </c>
      <c r="O60" s="49" t="s">
        <v>175</v>
      </c>
      <c r="P60" s="50"/>
      <c r="Q60" s="52"/>
      <c r="R60" s="36"/>
    </row>
    <row r="61" spans="1:18" s="47" customFormat="1" ht="12" x14ac:dyDescent="0.2">
      <c r="A61" s="104">
        <v>367</v>
      </c>
      <c r="B61" s="53" t="s">
        <v>339</v>
      </c>
      <c r="C61" s="54" t="s">
        <v>340</v>
      </c>
      <c r="D61" s="50">
        <v>44075</v>
      </c>
      <c r="E61" s="55" t="s">
        <v>341</v>
      </c>
      <c r="F61" s="49" t="s">
        <v>73</v>
      </c>
      <c r="G61" s="49" t="s">
        <v>342</v>
      </c>
      <c r="H61" s="49" t="s">
        <v>61</v>
      </c>
      <c r="I61" s="49" t="s">
        <v>61</v>
      </c>
      <c r="J61" s="49" t="s">
        <v>174</v>
      </c>
      <c r="K61" s="49"/>
      <c r="L61" s="50"/>
      <c r="M61" s="49"/>
      <c r="N61" s="49" t="s">
        <v>419</v>
      </c>
      <c r="O61" s="49" t="s">
        <v>343</v>
      </c>
      <c r="P61" s="50"/>
      <c r="Q61" s="52"/>
      <c r="R61" s="36"/>
    </row>
    <row r="62" spans="1:18" s="47" customFormat="1" ht="12" x14ac:dyDescent="0.2">
      <c r="A62" s="104" t="e">
        <v>#N/A</v>
      </c>
      <c r="B62" s="48" t="s">
        <v>715</v>
      </c>
      <c r="C62" s="49" t="s">
        <v>716</v>
      </c>
      <c r="D62" s="50">
        <v>45530</v>
      </c>
      <c r="E62" s="51" t="s">
        <v>169</v>
      </c>
      <c r="F62" s="49" t="s">
        <v>1802</v>
      </c>
      <c r="G62" s="49" t="s">
        <v>120</v>
      </c>
      <c r="H62" s="49" t="s">
        <v>61</v>
      </c>
      <c r="I62" s="49"/>
      <c r="J62" s="49" t="s">
        <v>314</v>
      </c>
      <c r="K62" s="49"/>
      <c r="L62" s="50"/>
      <c r="M62" s="49"/>
      <c r="N62" s="59"/>
      <c r="O62" s="49"/>
      <c r="P62" s="50"/>
      <c r="Q62" s="52"/>
      <c r="R62" s="36"/>
    </row>
    <row r="63" spans="1:18" s="47" customFormat="1" ht="12" x14ac:dyDescent="0.2">
      <c r="A63" s="104">
        <v>487</v>
      </c>
      <c r="B63" s="48" t="s">
        <v>443</v>
      </c>
      <c r="C63" s="49" t="s">
        <v>444</v>
      </c>
      <c r="D63" s="50">
        <v>44547</v>
      </c>
      <c r="E63" s="51" t="s">
        <v>445</v>
      </c>
      <c r="F63" s="49" t="s">
        <v>70</v>
      </c>
      <c r="G63" s="49" t="s">
        <v>158</v>
      </c>
      <c r="H63" s="49" t="s">
        <v>46</v>
      </c>
      <c r="I63" s="49" t="s">
        <v>46</v>
      </c>
      <c r="J63" s="49" t="s">
        <v>187</v>
      </c>
      <c r="K63" s="49"/>
      <c r="L63" s="50"/>
      <c r="M63" s="49"/>
      <c r="N63" s="49" t="s">
        <v>46</v>
      </c>
      <c r="O63" s="49"/>
      <c r="P63" s="50"/>
      <c r="Q63" s="52"/>
      <c r="R63" s="36"/>
    </row>
    <row r="64" spans="1:18" s="47" customFormat="1" ht="12" x14ac:dyDescent="0.2">
      <c r="A64" s="104">
        <v>142</v>
      </c>
      <c r="B64" s="48" t="s">
        <v>199</v>
      </c>
      <c r="C64" s="49" t="s">
        <v>200</v>
      </c>
      <c r="D64" s="50">
        <v>41171</v>
      </c>
      <c r="E64" s="51" t="s">
        <v>201</v>
      </c>
      <c r="F64" s="49" t="s">
        <v>70</v>
      </c>
      <c r="G64" s="49" t="s">
        <v>158</v>
      </c>
      <c r="H64" s="49" t="s">
        <v>46</v>
      </c>
      <c r="I64" s="49" t="s">
        <v>46</v>
      </c>
      <c r="J64" s="49" t="s">
        <v>187</v>
      </c>
      <c r="K64" s="49"/>
      <c r="L64" s="50"/>
      <c r="M64" s="49"/>
      <c r="N64" s="49" t="s">
        <v>1678</v>
      </c>
      <c r="O64" s="49"/>
      <c r="P64" s="50"/>
      <c r="Q64" s="52"/>
      <c r="R64" s="36"/>
    </row>
    <row r="65" spans="1:18" s="47" customFormat="1" ht="12" x14ac:dyDescent="0.2">
      <c r="A65" s="104">
        <v>579</v>
      </c>
      <c r="B65" s="48" t="s">
        <v>618</v>
      </c>
      <c r="C65" s="49" t="s">
        <v>619</v>
      </c>
      <c r="D65" s="50">
        <v>45200</v>
      </c>
      <c r="E65" s="51" t="s">
        <v>206</v>
      </c>
      <c r="F65" s="49" t="s">
        <v>70</v>
      </c>
      <c r="G65" s="49" t="s">
        <v>122</v>
      </c>
      <c r="H65" s="49" t="s">
        <v>57</v>
      </c>
      <c r="I65" s="49" t="s">
        <v>57</v>
      </c>
      <c r="J65" s="49" t="s">
        <v>162</v>
      </c>
      <c r="K65" s="49"/>
      <c r="L65" s="50"/>
      <c r="M65" s="49"/>
      <c r="N65" s="49" t="s">
        <v>163</v>
      </c>
      <c r="O65" s="49"/>
      <c r="P65" s="50"/>
      <c r="Q65" s="52"/>
      <c r="R65" s="36"/>
    </row>
    <row r="66" spans="1:18" s="47" customFormat="1" ht="12" x14ac:dyDescent="0.2">
      <c r="A66" s="104">
        <v>153</v>
      </c>
      <c r="B66" s="48" t="s">
        <v>196</v>
      </c>
      <c r="C66" s="49" t="s">
        <v>197</v>
      </c>
      <c r="D66" s="50">
        <v>41120</v>
      </c>
      <c r="E66" s="51" t="s">
        <v>1619</v>
      </c>
      <c r="F66" s="49" t="s">
        <v>70</v>
      </c>
      <c r="G66" s="49" t="s">
        <v>121</v>
      </c>
      <c r="H66" s="49" t="s">
        <v>60</v>
      </c>
      <c r="I66" s="49" t="s">
        <v>60</v>
      </c>
      <c r="J66" s="49" t="s">
        <v>147</v>
      </c>
      <c r="K66" s="49"/>
      <c r="L66" s="50"/>
      <c r="M66" s="49"/>
      <c r="N66" s="49" t="s">
        <v>60</v>
      </c>
      <c r="O66" s="49"/>
      <c r="P66" s="50"/>
      <c r="Q66" s="52"/>
      <c r="R66" s="36"/>
    </row>
    <row r="67" spans="1:18" s="47" customFormat="1" ht="12" x14ac:dyDescent="0.2">
      <c r="A67" s="104">
        <v>290</v>
      </c>
      <c r="B67" s="48" t="s">
        <v>269</v>
      </c>
      <c r="C67" s="49" t="s">
        <v>1062</v>
      </c>
      <c r="D67" s="50">
        <v>43196</v>
      </c>
      <c r="E67" s="51" t="s">
        <v>271</v>
      </c>
      <c r="F67" s="49" t="s">
        <v>70</v>
      </c>
      <c r="G67" s="49" t="s">
        <v>121</v>
      </c>
      <c r="H67" s="49" t="s">
        <v>223</v>
      </c>
      <c r="I67" s="49" t="s">
        <v>223</v>
      </c>
      <c r="J67" s="49" t="s">
        <v>221</v>
      </c>
      <c r="K67" s="49"/>
      <c r="L67" s="50"/>
      <c r="M67" s="49"/>
      <c r="N67" s="49" t="s">
        <v>272</v>
      </c>
      <c r="O67" s="49"/>
      <c r="P67" s="50"/>
      <c r="Q67" s="52"/>
      <c r="R67" s="36"/>
    </row>
    <row r="68" spans="1:18" s="47" customFormat="1" ht="12" x14ac:dyDescent="0.2">
      <c r="A68" s="104">
        <v>500</v>
      </c>
      <c r="B68" s="48" t="s">
        <v>171</v>
      </c>
      <c r="C68" s="49" t="s">
        <v>454</v>
      </c>
      <c r="D68" s="50">
        <v>44641</v>
      </c>
      <c r="E68" s="51" t="s">
        <v>455</v>
      </c>
      <c r="F68" s="49" t="s">
        <v>70</v>
      </c>
      <c r="G68" s="49" t="s">
        <v>121</v>
      </c>
      <c r="H68" s="49" t="s">
        <v>46</v>
      </c>
      <c r="I68" s="49" t="s">
        <v>46</v>
      </c>
      <c r="J68" s="49" t="s">
        <v>157</v>
      </c>
      <c r="K68" s="49"/>
      <c r="L68" s="50"/>
      <c r="M68" s="49"/>
      <c r="N68" s="49" t="s">
        <v>46</v>
      </c>
      <c r="O68" s="49"/>
      <c r="P68" s="50"/>
      <c r="Q68" s="52"/>
      <c r="R68" s="36"/>
    </row>
    <row r="69" spans="1:18" s="47" customFormat="1" ht="12" x14ac:dyDescent="0.2">
      <c r="A69" s="104">
        <v>133</v>
      </c>
      <c r="B69" s="48" t="s">
        <v>183</v>
      </c>
      <c r="C69" s="49" t="s">
        <v>184</v>
      </c>
      <c r="D69" s="50">
        <v>39958</v>
      </c>
      <c r="E69" s="51" t="s">
        <v>185</v>
      </c>
      <c r="F69" s="49" t="s">
        <v>70</v>
      </c>
      <c r="G69" s="49" t="s">
        <v>342</v>
      </c>
      <c r="H69" s="49" t="s">
        <v>46</v>
      </c>
      <c r="I69" s="49" t="s">
        <v>46</v>
      </c>
      <c r="J69" s="49" t="s">
        <v>187</v>
      </c>
      <c r="K69" s="49"/>
      <c r="L69" s="50"/>
      <c r="M69" s="49"/>
      <c r="N69" s="49" t="s">
        <v>46</v>
      </c>
      <c r="O69" s="49"/>
      <c r="P69" s="50"/>
      <c r="Q69" s="52"/>
      <c r="R69" s="36"/>
    </row>
    <row r="70" spans="1:18" s="47" customFormat="1" ht="12" x14ac:dyDescent="0.2">
      <c r="A70" s="104">
        <v>395</v>
      </c>
      <c r="B70" s="48" t="s">
        <v>358</v>
      </c>
      <c r="C70" s="49" t="s">
        <v>359</v>
      </c>
      <c r="D70" s="50">
        <v>44249</v>
      </c>
      <c r="E70" s="51" t="s">
        <v>169</v>
      </c>
      <c r="F70" s="49" t="s">
        <v>1679</v>
      </c>
      <c r="G70" s="49" t="s">
        <v>120</v>
      </c>
      <c r="H70" s="49" t="s">
        <v>46</v>
      </c>
      <c r="I70" s="49" t="s">
        <v>46</v>
      </c>
      <c r="J70" s="49" t="s">
        <v>1668</v>
      </c>
      <c r="K70" s="49"/>
      <c r="L70" s="50"/>
      <c r="M70" s="49"/>
      <c r="N70" s="49" t="s">
        <v>1671</v>
      </c>
      <c r="O70" s="49"/>
      <c r="P70" s="50"/>
      <c r="Q70" s="52" t="s">
        <v>1779</v>
      </c>
      <c r="R70" s="36"/>
    </row>
    <row r="71" spans="1:18" s="47" customFormat="1" ht="12" x14ac:dyDescent="0.2">
      <c r="A71" s="104">
        <v>545</v>
      </c>
      <c r="B71" s="48" t="s">
        <v>493</v>
      </c>
      <c r="C71" s="49" t="s">
        <v>494</v>
      </c>
      <c r="D71" s="50">
        <v>44823</v>
      </c>
      <c r="E71" s="51" t="s">
        <v>173</v>
      </c>
      <c r="F71" s="49" t="s">
        <v>70</v>
      </c>
      <c r="G71" s="49" t="s">
        <v>347</v>
      </c>
      <c r="H71" s="49" t="s">
        <v>57</v>
      </c>
      <c r="I71" s="49" t="s">
        <v>57</v>
      </c>
      <c r="J71" s="49" t="s">
        <v>238</v>
      </c>
      <c r="K71" s="49"/>
      <c r="L71" s="50"/>
      <c r="M71" s="49"/>
      <c r="N71" s="49" t="s">
        <v>617</v>
      </c>
      <c r="O71" s="49"/>
      <c r="P71" s="50"/>
      <c r="Q71" s="52"/>
      <c r="R71" s="36"/>
    </row>
    <row r="72" spans="1:18" s="47" customFormat="1" ht="12" x14ac:dyDescent="0.2">
      <c r="A72" s="104">
        <v>573</v>
      </c>
      <c r="B72" s="48" t="s">
        <v>537</v>
      </c>
      <c r="C72" s="49" t="s">
        <v>396</v>
      </c>
      <c r="D72" s="50">
        <v>44890</v>
      </c>
      <c r="E72" s="51" t="s">
        <v>1681</v>
      </c>
      <c r="F72" s="49" t="s">
        <v>70</v>
      </c>
      <c r="G72" s="49" t="s">
        <v>121</v>
      </c>
      <c r="H72" s="49" t="s">
        <v>57</v>
      </c>
      <c r="I72" s="49" t="s">
        <v>57</v>
      </c>
      <c r="J72" s="49" t="s">
        <v>490</v>
      </c>
      <c r="K72" s="49"/>
      <c r="L72" s="50"/>
      <c r="M72" s="49"/>
      <c r="N72" s="49" t="s">
        <v>1670</v>
      </c>
      <c r="O72" s="49"/>
      <c r="P72" s="50"/>
      <c r="Q72" s="52"/>
      <c r="R72" s="36"/>
    </row>
    <row r="73" spans="1:18" s="47" customFormat="1" ht="12" x14ac:dyDescent="0.2">
      <c r="A73" s="104">
        <v>426</v>
      </c>
      <c r="B73" s="48" t="s">
        <v>395</v>
      </c>
      <c r="C73" s="49" t="s">
        <v>396</v>
      </c>
      <c r="D73" s="50">
        <v>44361</v>
      </c>
      <c r="E73" s="51" t="s">
        <v>397</v>
      </c>
      <c r="F73" s="49" t="s">
        <v>70</v>
      </c>
      <c r="G73" s="49" t="s">
        <v>1780</v>
      </c>
      <c r="H73" s="49" t="s">
        <v>61</v>
      </c>
      <c r="I73" s="49" t="s">
        <v>61</v>
      </c>
      <c r="J73" s="49" t="s">
        <v>174</v>
      </c>
      <c r="K73" s="49"/>
      <c r="L73" s="50"/>
      <c r="M73" s="49"/>
      <c r="N73" s="49" t="s">
        <v>419</v>
      </c>
      <c r="O73" s="49"/>
      <c r="P73" s="50"/>
      <c r="Q73" s="52"/>
      <c r="R73" s="36"/>
    </row>
    <row r="74" spans="1:18" s="47" customFormat="1" ht="12" x14ac:dyDescent="0.2">
      <c r="A74" s="104">
        <v>464</v>
      </c>
      <c r="B74" s="48" t="s">
        <v>171</v>
      </c>
      <c r="C74" s="49" t="s">
        <v>396</v>
      </c>
      <c r="D74" s="50">
        <v>44515</v>
      </c>
      <c r="E74" s="51" t="s">
        <v>372</v>
      </c>
      <c r="F74" s="49" t="s">
        <v>1679</v>
      </c>
      <c r="G74" s="49" t="s">
        <v>120</v>
      </c>
      <c r="H74" s="49" t="s">
        <v>61</v>
      </c>
      <c r="I74" s="49" t="s">
        <v>61</v>
      </c>
      <c r="J74" s="49" t="s">
        <v>314</v>
      </c>
      <c r="K74" s="49"/>
      <c r="L74" s="50"/>
      <c r="M74" s="49"/>
      <c r="N74" s="49" t="s">
        <v>175</v>
      </c>
      <c r="O74" s="49"/>
      <c r="P74" s="50"/>
      <c r="Q74" s="52" t="s">
        <v>437</v>
      </c>
      <c r="R74" s="36"/>
    </row>
    <row r="75" spans="1:18" s="47" customFormat="1" ht="12" x14ac:dyDescent="0.2">
      <c r="A75" s="104" t="e">
        <v>#N/A</v>
      </c>
      <c r="B75" s="48" t="s">
        <v>635</v>
      </c>
      <c r="C75" s="49" t="s">
        <v>636</v>
      </c>
      <c r="D75" s="50">
        <v>45279</v>
      </c>
      <c r="E75" s="51" t="s">
        <v>637</v>
      </c>
      <c r="F75" s="49" t="s">
        <v>70</v>
      </c>
      <c r="G75" s="49" t="s">
        <v>1803</v>
      </c>
      <c r="H75" s="49" t="s">
        <v>46</v>
      </c>
      <c r="I75" s="49" t="s">
        <v>46</v>
      </c>
      <c r="J75" s="49" t="s">
        <v>1654</v>
      </c>
      <c r="K75" s="49"/>
      <c r="L75" s="50"/>
      <c r="M75" s="49"/>
      <c r="N75" s="49" t="s">
        <v>284</v>
      </c>
      <c r="O75" s="49"/>
      <c r="P75" s="50"/>
      <c r="Q75" s="52" t="s">
        <v>1682</v>
      </c>
      <c r="R75" s="36"/>
    </row>
    <row r="76" spans="1:18" s="47" customFormat="1" ht="12" x14ac:dyDescent="0.2">
      <c r="A76" s="104">
        <v>275</v>
      </c>
      <c r="B76" s="48" t="s">
        <v>261</v>
      </c>
      <c r="C76" s="49" t="s">
        <v>300</v>
      </c>
      <c r="D76" s="50">
        <v>43059</v>
      </c>
      <c r="E76" s="51" t="s">
        <v>206</v>
      </c>
      <c r="F76" s="49" t="s">
        <v>70</v>
      </c>
      <c r="G76" s="49" t="s">
        <v>122</v>
      </c>
      <c r="H76" s="49" t="s">
        <v>57</v>
      </c>
      <c r="I76" s="49" t="s">
        <v>57</v>
      </c>
      <c r="J76" s="49" t="s">
        <v>536</v>
      </c>
      <c r="K76" s="49"/>
      <c r="L76" s="50"/>
      <c r="M76" s="49"/>
      <c r="N76" s="49" t="s">
        <v>72</v>
      </c>
      <c r="O76" s="49"/>
      <c r="P76" s="50"/>
      <c r="Q76" s="52"/>
      <c r="R76" s="36"/>
    </row>
    <row r="77" spans="1:18" s="47" customFormat="1" ht="12" x14ac:dyDescent="0.2">
      <c r="A77" s="104">
        <v>311</v>
      </c>
      <c r="B77" s="48" t="s">
        <v>299</v>
      </c>
      <c r="C77" s="49" t="s">
        <v>300</v>
      </c>
      <c r="D77" s="50">
        <v>43605</v>
      </c>
      <c r="E77" s="51" t="s">
        <v>1683</v>
      </c>
      <c r="F77" s="49" t="s">
        <v>70</v>
      </c>
      <c r="G77" s="49" t="s">
        <v>1776</v>
      </c>
      <c r="H77" s="49" t="s">
        <v>59</v>
      </c>
      <c r="I77" s="49" t="s">
        <v>59</v>
      </c>
      <c r="J77" s="49" t="s">
        <v>334</v>
      </c>
      <c r="K77" s="49"/>
      <c r="L77" s="50"/>
      <c r="M77" s="49"/>
      <c r="N77" s="49" t="s">
        <v>302</v>
      </c>
      <c r="O77" s="49"/>
      <c r="P77" s="50"/>
      <c r="Q77" s="52"/>
      <c r="R77" s="36"/>
    </row>
    <row r="78" spans="1:18" s="47" customFormat="1" ht="12" x14ac:dyDescent="0.2">
      <c r="A78" s="104">
        <v>687</v>
      </c>
      <c r="B78" s="48" t="s">
        <v>680</v>
      </c>
      <c r="C78" s="49" t="s">
        <v>300</v>
      </c>
      <c r="D78" s="50">
        <v>45439</v>
      </c>
      <c r="E78" s="51" t="s">
        <v>169</v>
      </c>
      <c r="F78" s="49" t="s">
        <v>70</v>
      </c>
      <c r="G78" s="49" t="s">
        <v>120</v>
      </c>
      <c r="H78" s="49" t="s">
        <v>59</v>
      </c>
      <c r="I78" s="49" t="s">
        <v>59</v>
      </c>
      <c r="J78" s="49" t="s">
        <v>1663</v>
      </c>
      <c r="K78" s="49"/>
      <c r="L78" s="50"/>
      <c r="M78" s="49"/>
      <c r="N78" s="49" t="s">
        <v>1664</v>
      </c>
      <c r="O78" s="49"/>
      <c r="P78" s="50"/>
      <c r="Q78" s="52"/>
      <c r="R78" s="36"/>
    </row>
    <row r="79" spans="1:18" s="47" customFormat="1" ht="12" x14ac:dyDescent="0.2">
      <c r="A79" s="104">
        <v>587</v>
      </c>
      <c r="B79" s="53" t="s">
        <v>550</v>
      </c>
      <c r="C79" s="54" t="s">
        <v>551</v>
      </c>
      <c r="D79" s="50">
        <v>44963</v>
      </c>
      <c r="E79" s="55" t="s">
        <v>169</v>
      </c>
      <c r="F79" s="49" t="s">
        <v>73</v>
      </c>
      <c r="G79" s="49" t="s">
        <v>120</v>
      </c>
      <c r="H79" s="49" t="s">
        <v>59</v>
      </c>
      <c r="I79" s="49" t="s">
        <v>59</v>
      </c>
      <c r="J79" s="49" t="s">
        <v>667</v>
      </c>
      <c r="K79" s="49" t="s">
        <v>61</v>
      </c>
      <c r="L79" s="50">
        <v>45569</v>
      </c>
      <c r="M79" s="49" t="s">
        <v>549</v>
      </c>
      <c r="N79" s="49" t="s">
        <v>297</v>
      </c>
      <c r="O79" s="49" t="s">
        <v>175</v>
      </c>
      <c r="P79" s="50"/>
      <c r="Q79" s="52"/>
      <c r="R79" s="36"/>
    </row>
    <row r="80" spans="1:18" s="47" customFormat="1" ht="12" x14ac:dyDescent="0.2">
      <c r="A80" s="104">
        <v>556</v>
      </c>
      <c r="B80" s="48" t="s">
        <v>525</v>
      </c>
      <c r="C80" s="49" t="s">
        <v>526</v>
      </c>
      <c r="D80" s="50">
        <v>44879</v>
      </c>
      <c r="E80" s="51" t="s">
        <v>372</v>
      </c>
      <c r="F80" s="49" t="s">
        <v>70</v>
      </c>
      <c r="G80" s="49" t="s">
        <v>120</v>
      </c>
      <c r="H80" s="49" t="s">
        <v>57</v>
      </c>
      <c r="I80" s="49" t="s">
        <v>57</v>
      </c>
      <c r="J80" s="49" t="s">
        <v>231</v>
      </c>
      <c r="K80" s="49"/>
      <c r="L80" s="50"/>
      <c r="M80" s="49"/>
      <c r="N80" s="49" t="s">
        <v>72</v>
      </c>
      <c r="O80" s="49"/>
      <c r="P80" s="50"/>
      <c r="Q80" s="52"/>
      <c r="R80" s="36"/>
    </row>
    <row r="81" spans="1:18" s="47" customFormat="1" ht="12" x14ac:dyDescent="0.2">
      <c r="A81" s="104">
        <v>534</v>
      </c>
      <c r="B81" s="48" t="s">
        <v>483</v>
      </c>
      <c r="C81" s="49" t="s">
        <v>484</v>
      </c>
      <c r="D81" s="50">
        <v>44790</v>
      </c>
      <c r="E81" s="51" t="s">
        <v>372</v>
      </c>
      <c r="F81" s="49" t="s">
        <v>70</v>
      </c>
      <c r="G81" s="49" t="s">
        <v>120</v>
      </c>
      <c r="H81" s="49" t="s">
        <v>61</v>
      </c>
      <c r="I81" s="49" t="s">
        <v>61</v>
      </c>
      <c r="J81" s="49" t="s">
        <v>314</v>
      </c>
      <c r="K81" s="49"/>
      <c r="L81" s="50"/>
      <c r="M81" s="49"/>
      <c r="N81" s="49" t="s">
        <v>1684</v>
      </c>
      <c r="O81" s="49" t="s">
        <v>249</v>
      </c>
      <c r="P81" s="50"/>
      <c r="Q81" s="52" t="s">
        <v>1685</v>
      </c>
      <c r="R81" s="36"/>
    </row>
    <row r="82" spans="1:18" s="47" customFormat="1" ht="12" x14ac:dyDescent="0.2">
      <c r="A82" s="104" t="e">
        <v>#N/A</v>
      </c>
      <c r="B82" s="48" t="s">
        <v>710</v>
      </c>
      <c r="C82" s="49" t="s">
        <v>1804</v>
      </c>
      <c r="D82" s="50" t="s">
        <v>1805</v>
      </c>
      <c r="E82" s="51" t="s">
        <v>372</v>
      </c>
      <c r="F82" s="49" t="s">
        <v>70</v>
      </c>
      <c r="G82" s="49" t="s">
        <v>120</v>
      </c>
      <c r="H82" s="49" t="s">
        <v>61</v>
      </c>
      <c r="I82" s="49"/>
      <c r="J82" s="49" t="s">
        <v>314</v>
      </c>
      <c r="K82" s="49"/>
      <c r="L82" s="50"/>
      <c r="M82" s="49"/>
      <c r="N82" s="59"/>
      <c r="O82" s="49"/>
      <c r="P82" s="50"/>
      <c r="Q82" s="52"/>
      <c r="R82" s="36"/>
    </row>
    <row r="83" spans="1:18" s="47" customFormat="1" ht="12" x14ac:dyDescent="0.2">
      <c r="A83" s="104">
        <v>344</v>
      </c>
      <c r="B83" s="48" t="s">
        <v>316</v>
      </c>
      <c r="C83" s="49" t="s">
        <v>317</v>
      </c>
      <c r="D83" s="50">
        <v>43861</v>
      </c>
      <c r="E83" s="51" t="s">
        <v>1140</v>
      </c>
      <c r="F83" s="49" t="s">
        <v>70</v>
      </c>
      <c r="G83" s="49" t="s">
        <v>122</v>
      </c>
      <c r="H83" s="49" t="s">
        <v>46</v>
      </c>
      <c r="I83" s="49" t="s">
        <v>46</v>
      </c>
      <c r="J83" s="49" t="s">
        <v>207</v>
      </c>
      <c r="K83" s="49"/>
      <c r="L83" s="50"/>
      <c r="M83" s="49"/>
      <c r="N83" s="49" t="s">
        <v>1669</v>
      </c>
      <c r="O83" s="49"/>
      <c r="P83" s="50"/>
      <c r="Q83" s="52"/>
      <c r="R83" s="36"/>
    </row>
    <row r="84" spans="1:18" s="47" customFormat="1" ht="12" x14ac:dyDescent="0.2">
      <c r="A84" s="104">
        <v>515</v>
      </c>
      <c r="B84" s="48" t="s">
        <v>469</v>
      </c>
      <c r="C84" s="49" t="s">
        <v>470</v>
      </c>
      <c r="D84" s="50">
        <v>44725</v>
      </c>
      <c r="E84" s="51" t="s">
        <v>471</v>
      </c>
      <c r="F84" s="49" t="s">
        <v>70</v>
      </c>
      <c r="G84" s="49" t="s">
        <v>158</v>
      </c>
      <c r="H84" s="49" t="s">
        <v>46</v>
      </c>
      <c r="I84" s="49" t="s">
        <v>46</v>
      </c>
      <c r="J84" s="49" t="s">
        <v>187</v>
      </c>
      <c r="K84" s="49"/>
      <c r="L84" s="50"/>
      <c r="M84" s="49"/>
      <c r="N84" s="49" t="s">
        <v>1678</v>
      </c>
      <c r="O84" s="49"/>
      <c r="P84" s="50"/>
      <c r="Q84" s="52"/>
      <c r="R84" s="36"/>
    </row>
    <row r="85" spans="1:18" s="47" customFormat="1" ht="12" x14ac:dyDescent="0.2">
      <c r="A85" s="104">
        <v>679</v>
      </c>
      <c r="B85" s="53" t="s">
        <v>669</v>
      </c>
      <c r="C85" s="54" t="s">
        <v>670</v>
      </c>
      <c r="D85" s="50" t="s">
        <v>1677</v>
      </c>
      <c r="E85" s="55" t="s">
        <v>169</v>
      </c>
      <c r="F85" s="49" t="s">
        <v>73</v>
      </c>
      <c r="G85" s="49" t="s">
        <v>120</v>
      </c>
      <c r="H85" s="49" t="s">
        <v>61</v>
      </c>
      <c r="I85" s="49" t="s">
        <v>61</v>
      </c>
      <c r="J85" s="49" t="s">
        <v>667</v>
      </c>
      <c r="K85" s="49"/>
      <c r="L85" s="50"/>
      <c r="M85" s="49"/>
      <c r="N85" s="49" t="s">
        <v>668</v>
      </c>
      <c r="O85" s="49" t="s">
        <v>249</v>
      </c>
      <c r="P85" s="50"/>
      <c r="Q85" s="52"/>
      <c r="R85" s="36"/>
    </row>
    <row r="86" spans="1:18" s="47" customFormat="1" ht="12" x14ac:dyDescent="0.2">
      <c r="A86" s="104">
        <v>596</v>
      </c>
      <c r="B86" s="48" t="s">
        <v>578</v>
      </c>
      <c r="C86" s="49" t="s">
        <v>579</v>
      </c>
      <c r="D86" s="50">
        <v>45033</v>
      </c>
      <c r="E86" s="51" t="s">
        <v>580</v>
      </c>
      <c r="F86" s="49" t="s">
        <v>70</v>
      </c>
      <c r="G86" s="49" t="s">
        <v>581</v>
      </c>
      <c r="H86" s="49" t="s">
        <v>223</v>
      </c>
      <c r="I86" s="49" t="s">
        <v>223</v>
      </c>
      <c r="J86" s="49" t="s">
        <v>582</v>
      </c>
      <c r="K86" s="49"/>
      <c r="L86" s="50"/>
      <c r="M86" s="49"/>
      <c r="N86" s="49" t="s">
        <v>581</v>
      </c>
      <c r="O86" s="49"/>
      <c r="P86" s="50"/>
      <c r="Q86" s="52"/>
      <c r="R86" s="36"/>
    </row>
    <row r="87" spans="1:18" s="47" customFormat="1" ht="12" x14ac:dyDescent="0.2">
      <c r="A87" s="104">
        <v>661</v>
      </c>
      <c r="B87" s="48" t="s">
        <v>565</v>
      </c>
      <c r="C87" s="49" t="s">
        <v>566</v>
      </c>
      <c r="D87" s="50">
        <v>44968</v>
      </c>
      <c r="E87" s="51" t="s">
        <v>567</v>
      </c>
      <c r="F87" s="49" t="s">
        <v>70</v>
      </c>
      <c r="G87" s="49" t="s">
        <v>220</v>
      </c>
      <c r="H87" s="49" t="s">
        <v>223</v>
      </c>
      <c r="I87" s="49" t="s">
        <v>223</v>
      </c>
      <c r="J87" s="49" t="s">
        <v>568</v>
      </c>
      <c r="K87" s="49"/>
      <c r="L87" s="50"/>
      <c r="M87" s="49"/>
      <c r="N87" s="49" t="s">
        <v>222</v>
      </c>
      <c r="O87" s="49"/>
      <c r="P87" s="50"/>
      <c r="Q87" s="52"/>
      <c r="R87" s="36"/>
    </row>
    <row r="88" spans="1:18" s="47" customFormat="1" ht="12" x14ac:dyDescent="0.2">
      <c r="A88" s="104">
        <v>342</v>
      </c>
      <c r="B88" s="48" t="s">
        <v>311</v>
      </c>
      <c r="C88" s="49" t="s">
        <v>312</v>
      </c>
      <c r="D88" s="50">
        <v>43784</v>
      </c>
      <c r="E88" s="51" t="s">
        <v>169</v>
      </c>
      <c r="F88" s="49" t="s">
        <v>70</v>
      </c>
      <c r="G88" s="49" t="s">
        <v>120</v>
      </c>
      <c r="H88" s="49" t="s">
        <v>57</v>
      </c>
      <c r="I88" s="49" t="s">
        <v>57</v>
      </c>
      <c r="J88" s="49" t="s">
        <v>231</v>
      </c>
      <c r="K88" s="49" t="s">
        <v>61</v>
      </c>
      <c r="L88" s="50">
        <v>45537</v>
      </c>
      <c r="M88" s="49" t="s">
        <v>1687</v>
      </c>
      <c r="N88" s="49" t="s">
        <v>72</v>
      </c>
      <c r="O88" s="49" t="s">
        <v>175</v>
      </c>
      <c r="P88" s="50"/>
      <c r="Q88" s="52" t="s">
        <v>442</v>
      </c>
      <c r="R88" s="36"/>
    </row>
    <row r="89" spans="1:18" s="47" customFormat="1" ht="12" x14ac:dyDescent="0.2">
      <c r="A89" s="104">
        <v>101</v>
      </c>
      <c r="B89" s="48" t="s">
        <v>171</v>
      </c>
      <c r="C89" s="49" t="s">
        <v>172</v>
      </c>
      <c r="D89" s="50">
        <v>38551</v>
      </c>
      <c r="E89" s="51" t="s">
        <v>173</v>
      </c>
      <c r="F89" s="49" t="s">
        <v>70</v>
      </c>
      <c r="G89" s="49" t="s">
        <v>347</v>
      </c>
      <c r="H89" s="49" t="s">
        <v>61</v>
      </c>
      <c r="I89" s="49" t="s">
        <v>61</v>
      </c>
      <c r="J89" s="49" t="s">
        <v>174</v>
      </c>
      <c r="K89" s="49"/>
      <c r="L89" s="50"/>
      <c r="M89" s="49"/>
      <c r="N89" s="49" t="s">
        <v>419</v>
      </c>
      <c r="O89" s="49"/>
      <c r="P89" s="50"/>
      <c r="Q89" s="52"/>
      <c r="R89" s="36"/>
    </row>
    <row r="90" spans="1:18" s="47" customFormat="1" ht="12" x14ac:dyDescent="0.2">
      <c r="A90" s="104">
        <v>384</v>
      </c>
      <c r="B90" s="48" t="s">
        <v>429</v>
      </c>
      <c r="C90" s="49" t="s">
        <v>430</v>
      </c>
      <c r="D90" s="50">
        <v>44501</v>
      </c>
      <c r="E90" s="51" t="s">
        <v>169</v>
      </c>
      <c r="F90" s="49" t="s">
        <v>70</v>
      </c>
      <c r="G90" s="49" t="s">
        <v>120</v>
      </c>
      <c r="H90" s="49" t="s">
        <v>57</v>
      </c>
      <c r="I90" s="49" t="s">
        <v>57</v>
      </c>
      <c r="J90" s="49" t="s">
        <v>231</v>
      </c>
      <c r="K90" s="49"/>
      <c r="L90" s="50"/>
      <c r="M90" s="49"/>
      <c r="N90" s="49" t="s">
        <v>72</v>
      </c>
      <c r="O90" s="49"/>
      <c r="P90" s="50"/>
      <c r="Q90" s="52"/>
      <c r="R90" s="36"/>
    </row>
    <row r="91" spans="1:18" s="47" customFormat="1" ht="12" x14ac:dyDescent="0.2">
      <c r="A91" s="104">
        <v>200</v>
      </c>
      <c r="B91" s="48" t="s">
        <v>209</v>
      </c>
      <c r="C91" s="49" t="s">
        <v>210</v>
      </c>
      <c r="D91" s="50">
        <v>41641</v>
      </c>
      <c r="E91" s="51" t="s">
        <v>211</v>
      </c>
      <c r="F91" s="49" t="s">
        <v>70</v>
      </c>
      <c r="G91" s="49" t="s">
        <v>121</v>
      </c>
      <c r="H91" s="49" t="s">
        <v>60</v>
      </c>
      <c r="I91" s="49" t="s">
        <v>1688</v>
      </c>
      <c r="J91" s="49" t="s">
        <v>147</v>
      </c>
      <c r="K91" s="49"/>
      <c r="L91" s="50"/>
      <c r="M91" s="49"/>
      <c r="N91" s="49" t="s">
        <v>60</v>
      </c>
      <c r="O91" s="49"/>
      <c r="P91" s="50"/>
      <c r="Q91" s="52"/>
      <c r="R91" s="36"/>
    </row>
    <row r="92" spans="1:18" s="47" customFormat="1" ht="12" x14ac:dyDescent="0.2">
      <c r="A92" s="104">
        <v>656</v>
      </c>
      <c r="B92" s="48" t="s">
        <v>623</v>
      </c>
      <c r="C92" s="49" t="s">
        <v>624</v>
      </c>
      <c r="D92" s="50">
        <v>45215</v>
      </c>
      <c r="E92" s="51" t="s">
        <v>386</v>
      </c>
      <c r="F92" s="49" t="s">
        <v>70</v>
      </c>
      <c r="G92" s="49" t="s">
        <v>347</v>
      </c>
      <c r="H92" s="49" t="s">
        <v>57</v>
      </c>
      <c r="I92" s="49" t="s">
        <v>57</v>
      </c>
      <c r="J92" s="49" t="s">
        <v>1689</v>
      </c>
      <c r="K92" s="49"/>
      <c r="L92" s="50"/>
      <c r="M92" s="49"/>
      <c r="N92" s="49" t="s">
        <v>617</v>
      </c>
      <c r="O92" s="49"/>
      <c r="P92" s="50"/>
      <c r="Q92" s="52"/>
      <c r="R92" s="36"/>
    </row>
    <row r="93" spans="1:18" s="47" customFormat="1" ht="12" x14ac:dyDescent="0.2">
      <c r="A93" s="104">
        <v>267</v>
      </c>
      <c r="B93" s="48" t="s">
        <v>258</v>
      </c>
      <c r="C93" s="49" t="s">
        <v>259</v>
      </c>
      <c r="D93" s="50">
        <v>43024</v>
      </c>
      <c r="E93" s="51" t="s">
        <v>260</v>
      </c>
      <c r="F93" s="49" t="s">
        <v>70</v>
      </c>
      <c r="G93" s="49" t="s">
        <v>1801</v>
      </c>
      <c r="H93" s="49" t="s">
        <v>223</v>
      </c>
      <c r="I93" s="49" t="s">
        <v>223</v>
      </c>
      <c r="J93" s="49" t="s">
        <v>221</v>
      </c>
      <c r="K93" s="49"/>
      <c r="L93" s="50"/>
      <c r="M93" s="49"/>
      <c r="N93" s="49" t="s">
        <v>1690</v>
      </c>
      <c r="O93" s="49"/>
      <c r="P93" s="50"/>
      <c r="Q93" s="52"/>
      <c r="R93" s="36"/>
    </row>
    <row r="94" spans="1:18" s="47" customFormat="1" ht="12" x14ac:dyDescent="0.2">
      <c r="A94" s="104">
        <v>580</v>
      </c>
      <c r="B94" s="48" t="s">
        <v>541</v>
      </c>
      <c r="C94" s="49" t="s">
        <v>542</v>
      </c>
      <c r="D94" s="50">
        <v>44942</v>
      </c>
      <c r="E94" s="51" t="s">
        <v>543</v>
      </c>
      <c r="F94" s="49" t="s">
        <v>70</v>
      </c>
      <c r="G94" s="49" t="s">
        <v>121</v>
      </c>
      <c r="H94" s="49" t="s">
        <v>61</v>
      </c>
      <c r="I94" s="49" t="s">
        <v>61</v>
      </c>
      <c r="J94" s="49" t="s">
        <v>1691</v>
      </c>
      <c r="K94" s="49"/>
      <c r="L94" s="50"/>
      <c r="M94" s="49"/>
      <c r="N94" s="49" t="s">
        <v>419</v>
      </c>
      <c r="O94" s="49"/>
      <c r="P94" s="50"/>
      <c r="Q94" s="52"/>
      <c r="R94" s="36"/>
    </row>
    <row r="95" spans="1:18" s="47" customFormat="1" ht="12" x14ac:dyDescent="0.2">
      <c r="A95" s="104">
        <v>485</v>
      </c>
      <c r="B95" s="48" t="s">
        <v>390</v>
      </c>
      <c r="C95" s="49" t="s">
        <v>391</v>
      </c>
      <c r="D95" s="50">
        <v>44359</v>
      </c>
      <c r="E95" s="51" t="s">
        <v>169</v>
      </c>
      <c r="F95" s="49" t="s">
        <v>70</v>
      </c>
      <c r="G95" s="49" t="s">
        <v>120</v>
      </c>
      <c r="H95" s="49" t="s">
        <v>61</v>
      </c>
      <c r="I95" s="49" t="s">
        <v>59</v>
      </c>
      <c r="J95" s="49" t="s">
        <v>314</v>
      </c>
      <c r="K95" s="49" t="s">
        <v>61</v>
      </c>
      <c r="L95" s="88">
        <v>45467</v>
      </c>
      <c r="M95" s="49" t="s">
        <v>392</v>
      </c>
      <c r="N95" s="49" t="s">
        <v>343</v>
      </c>
      <c r="O95" s="49" t="s">
        <v>393</v>
      </c>
      <c r="P95" s="50"/>
      <c r="Q95" s="52" t="s">
        <v>394</v>
      </c>
      <c r="R95" s="36"/>
    </row>
    <row r="96" spans="1:18" s="47" customFormat="1" ht="12" x14ac:dyDescent="0.2">
      <c r="A96" s="104">
        <v>316</v>
      </c>
      <c r="B96" s="48" t="s">
        <v>285</v>
      </c>
      <c r="C96" s="49" t="s">
        <v>286</v>
      </c>
      <c r="D96" s="50">
        <v>43472</v>
      </c>
      <c r="E96" s="51" t="s">
        <v>287</v>
      </c>
      <c r="F96" s="49" t="s">
        <v>70</v>
      </c>
      <c r="G96" s="49" t="s">
        <v>272</v>
      </c>
      <c r="H96" s="49" t="s">
        <v>223</v>
      </c>
      <c r="I96" s="49" t="s">
        <v>223</v>
      </c>
      <c r="J96" s="49" t="s">
        <v>288</v>
      </c>
      <c r="K96" s="49"/>
      <c r="L96" s="50"/>
      <c r="M96" s="49"/>
      <c r="N96" s="49" t="s">
        <v>272</v>
      </c>
      <c r="O96" s="49"/>
      <c r="P96" s="50"/>
      <c r="Q96" s="52"/>
      <c r="R96" s="36"/>
    </row>
    <row r="97" spans="1:18" s="47" customFormat="1" ht="12" x14ac:dyDescent="0.2">
      <c r="A97" s="104">
        <v>398</v>
      </c>
      <c r="B97" s="48" t="s">
        <v>335</v>
      </c>
      <c r="C97" s="49" t="s">
        <v>360</v>
      </c>
      <c r="D97" s="50">
        <v>44270</v>
      </c>
      <c r="E97" s="51" t="s">
        <v>206</v>
      </c>
      <c r="F97" s="49" t="s">
        <v>70</v>
      </c>
      <c r="G97" s="49" t="s">
        <v>122</v>
      </c>
      <c r="H97" s="49" t="s">
        <v>46</v>
      </c>
      <c r="I97" s="49" t="s">
        <v>46</v>
      </c>
      <c r="J97" s="49" t="s">
        <v>207</v>
      </c>
      <c r="K97" s="49"/>
      <c r="L97" s="50"/>
      <c r="M97" s="49"/>
      <c r="N97" s="49" t="s">
        <v>1669</v>
      </c>
      <c r="O97" s="49"/>
      <c r="P97" s="50"/>
      <c r="Q97" s="52"/>
      <c r="R97" s="36"/>
    </row>
    <row r="98" spans="1:18" s="47" customFormat="1" ht="12" x14ac:dyDescent="0.2">
      <c r="A98" s="104">
        <v>676</v>
      </c>
      <c r="B98" s="48" t="s">
        <v>650</v>
      </c>
      <c r="C98" s="49" t="s">
        <v>651</v>
      </c>
      <c r="D98" s="50">
        <v>45363</v>
      </c>
      <c r="E98" s="51" t="s">
        <v>1692</v>
      </c>
      <c r="F98" s="49" t="s">
        <v>70</v>
      </c>
      <c r="G98" s="49" t="s">
        <v>338</v>
      </c>
      <c r="H98" s="49" t="s">
        <v>223</v>
      </c>
      <c r="I98" s="49" t="s">
        <v>223</v>
      </c>
      <c r="J98" s="49" t="s">
        <v>288</v>
      </c>
      <c r="K98" s="49"/>
      <c r="L98" s="50"/>
      <c r="M98" s="49"/>
      <c r="N98" s="49" t="s">
        <v>272</v>
      </c>
      <c r="O98" s="49"/>
      <c r="P98" s="50"/>
      <c r="Q98" s="52"/>
      <c r="R98" s="36"/>
    </row>
    <row r="99" spans="1:18" s="47" customFormat="1" ht="12" x14ac:dyDescent="0.2">
      <c r="A99" s="104">
        <v>412</v>
      </c>
      <c r="B99" s="48" t="s">
        <v>367</v>
      </c>
      <c r="C99" s="49" t="s">
        <v>368</v>
      </c>
      <c r="D99" s="50">
        <v>44329</v>
      </c>
      <c r="E99" s="51" t="s">
        <v>169</v>
      </c>
      <c r="F99" s="49" t="s">
        <v>1679</v>
      </c>
      <c r="G99" s="49" t="s">
        <v>120</v>
      </c>
      <c r="H99" s="49" t="s">
        <v>46</v>
      </c>
      <c r="I99" s="49" t="s">
        <v>46</v>
      </c>
      <c r="J99" s="49" t="s">
        <v>1668</v>
      </c>
      <c r="K99" s="49"/>
      <c r="L99" s="50"/>
      <c r="M99" s="49"/>
      <c r="N99" s="49" t="s">
        <v>1671</v>
      </c>
      <c r="O99" s="49"/>
      <c r="P99" s="50"/>
      <c r="Q99" s="52" t="s">
        <v>369</v>
      </c>
      <c r="R99" s="36"/>
    </row>
    <row r="100" spans="1:18" s="47" customFormat="1" ht="12" x14ac:dyDescent="0.2">
      <c r="A100" s="104">
        <v>526</v>
      </c>
      <c r="B100" s="53" t="s">
        <v>478</v>
      </c>
      <c r="C100" s="54" t="s">
        <v>479</v>
      </c>
      <c r="D100" s="50">
        <v>44774</v>
      </c>
      <c r="E100" s="55" t="s">
        <v>480</v>
      </c>
      <c r="F100" s="49" t="s">
        <v>72</v>
      </c>
      <c r="G100" s="49" t="s">
        <v>123</v>
      </c>
      <c r="H100" s="49" t="s">
        <v>57</v>
      </c>
      <c r="I100" s="49" t="s">
        <v>57</v>
      </c>
      <c r="J100" s="49" t="s">
        <v>1657</v>
      </c>
      <c r="K100" s="49"/>
      <c r="L100" s="50"/>
      <c r="M100" s="49"/>
      <c r="N100" s="49" t="s">
        <v>72</v>
      </c>
      <c r="O100" s="49"/>
      <c r="P100" s="50"/>
      <c r="Q100" s="52"/>
      <c r="R100" s="36"/>
    </row>
    <row r="101" spans="1:18" s="47" customFormat="1" ht="12" x14ac:dyDescent="0.2">
      <c r="A101" s="104">
        <v>294</v>
      </c>
      <c r="B101" s="48" t="s">
        <v>280</v>
      </c>
      <c r="C101" s="49" t="s">
        <v>165</v>
      </c>
      <c r="D101" s="50">
        <v>43339</v>
      </c>
      <c r="E101" s="51" t="s">
        <v>1071</v>
      </c>
      <c r="F101" s="49" t="s">
        <v>70</v>
      </c>
      <c r="G101" s="49" t="s">
        <v>1803</v>
      </c>
      <c r="H101" s="49" t="s">
        <v>46</v>
      </c>
      <c r="I101" s="49" t="s">
        <v>46</v>
      </c>
      <c r="J101" s="49" t="s">
        <v>1654</v>
      </c>
      <c r="K101" s="49"/>
      <c r="L101" s="50"/>
      <c r="M101" s="49"/>
      <c r="N101" s="49" t="s">
        <v>284</v>
      </c>
      <c r="O101" s="49"/>
      <c r="P101" s="50"/>
      <c r="Q101" s="52"/>
      <c r="R101" s="36"/>
    </row>
    <row r="102" spans="1:18" s="47" customFormat="1" ht="12" x14ac:dyDescent="0.2">
      <c r="A102" s="104">
        <v>87</v>
      </c>
      <c r="B102" s="48" t="s">
        <v>164</v>
      </c>
      <c r="C102" s="49" t="s">
        <v>165</v>
      </c>
      <c r="D102" s="50">
        <v>38202</v>
      </c>
      <c r="E102" s="51" t="s">
        <v>166</v>
      </c>
      <c r="F102" s="49" t="s">
        <v>70</v>
      </c>
      <c r="G102" s="49" t="s">
        <v>121</v>
      </c>
      <c r="H102" s="49" t="s">
        <v>60</v>
      </c>
      <c r="I102" s="49" t="s">
        <v>60</v>
      </c>
      <c r="J102" s="49" t="s">
        <v>147</v>
      </c>
      <c r="K102" s="49"/>
      <c r="L102" s="50"/>
      <c r="M102" s="49"/>
      <c r="N102" s="49" t="s">
        <v>60</v>
      </c>
      <c r="O102" s="49"/>
      <c r="P102" s="50"/>
      <c r="Q102" s="52"/>
      <c r="R102" s="36"/>
    </row>
    <row r="103" spans="1:18" s="47" customFormat="1" ht="12" x14ac:dyDescent="0.2">
      <c r="A103" s="104">
        <v>333</v>
      </c>
      <c r="B103" s="53" t="s">
        <v>308</v>
      </c>
      <c r="C103" s="54" t="s">
        <v>165</v>
      </c>
      <c r="D103" s="50">
        <v>43767</v>
      </c>
      <c r="E103" s="55" t="s">
        <v>181</v>
      </c>
      <c r="F103" s="49" t="s">
        <v>70</v>
      </c>
      <c r="G103" s="49" t="s">
        <v>120</v>
      </c>
      <c r="H103" s="49" t="s">
        <v>59</v>
      </c>
      <c r="I103" s="49" t="s">
        <v>59</v>
      </c>
      <c r="J103" s="49" t="s">
        <v>1663</v>
      </c>
      <c r="K103" s="49"/>
      <c r="L103" s="50"/>
      <c r="M103" s="49"/>
      <c r="N103" s="49" t="s">
        <v>343</v>
      </c>
      <c r="O103" s="49" t="s">
        <v>310</v>
      </c>
      <c r="P103" s="50">
        <v>45467</v>
      </c>
      <c r="Q103" s="52"/>
      <c r="R103" s="36"/>
    </row>
    <row r="104" spans="1:18" s="47" customFormat="1" ht="12" x14ac:dyDescent="0.2">
      <c r="A104" s="104">
        <v>628</v>
      </c>
      <c r="B104" s="48" t="s">
        <v>599</v>
      </c>
      <c r="C104" s="49" t="s">
        <v>600</v>
      </c>
      <c r="D104" s="50">
        <v>45152</v>
      </c>
      <c r="E104" s="51" t="s">
        <v>1033</v>
      </c>
      <c r="F104" s="49" t="s">
        <v>70</v>
      </c>
      <c r="G104" s="49" t="s">
        <v>347</v>
      </c>
      <c r="H104" s="49" t="s">
        <v>59</v>
      </c>
      <c r="I104" s="49" t="s">
        <v>59</v>
      </c>
      <c r="J104" s="49" t="s">
        <v>1665</v>
      </c>
      <c r="K104" s="49"/>
      <c r="L104" s="50"/>
      <c r="M104" s="49"/>
      <c r="N104" s="49" t="s">
        <v>302</v>
      </c>
      <c r="O104" s="49"/>
      <c r="P104" s="50"/>
      <c r="Q104" s="52"/>
      <c r="R104" s="36"/>
    </row>
    <row r="105" spans="1:18" s="47" customFormat="1" ht="12" x14ac:dyDescent="0.2">
      <c r="A105" s="104">
        <v>532</v>
      </c>
      <c r="B105" s="53" t="s">
        <v>482</v>
      </c>
      <c r="C105" s="54" t="s">
        <v>307</v>
      </c>
      <c r="D105" s="50">
        <v>44788</v>
      </c>
      <c r="E105" s="55" t="s">
        <v>1140</v>
      </c>
      <c r="F105" s="49" t="s">
        <v>70</v>
      </c>
      <c r="G105" s="49" t="s">
        <v>122</v>
      </c>
      <c r="H105" s="49" t="s">
        <v>61</v>
      </c>
      <c r="I105" s="49" t="s">
        <v>61</v>
      </c>
      <c r="J105" s="49" t="s">
        <v>400</v>
      </c>
      <c r="K105" s="49"/>
      <c r="L105" s="50"/>
      <c r="M105" s="49"/>
      <c r="N105" s="49" t="s">
        <v>1693</v>
      </c>
      <c r="O105" s="49"/>
      <c r="P105" s="50"/>
      <c r="Q105" s="52"/>
      <c r="R105" s="36"/>
    </row>
    <row r="106" spans="1:18" s="47" customFormat="1" ht="12" x14ac:dyDescent="0.2">
      <c r="A106" s="104">
        <v>463</v>
      </c>
      <c r="B106" s="48" t="s">
        <v>435</v>
      </c>
      <c r="C106" s="49" t="s">
        <v>307</v>
      </c>
      <c r="D106" s="50">
        <v>44515</v>
      </c>
      <c r="E106" s="51" t="s">
        <v>169</v>
      </c>
      <c r="F106" s="49" t="s">
        <v>70</v>
      </c>
      <c r="G106" s="49" t="s">
        <v>120</v>
      </c>
      <c r="H106" s="49" t="s">
        <v>57</v>
      </c>
      <c r="I106" s="49" t="s">
        <v>57</v>
      </c>
      <c r="J106" s="49" t="s">
        <v>162</v>
      </c>
      <c r="K106" s="49"/>
      <c r="L106" s="50"/>
      <c r="M106" s="49"/>
      <c r="N106" s="49" t="s">
        <v>163</v>
      </c>
      <c r="O106" s="49"/>
      <c r="P106" s="50"/>
      <c r="Q106" s="52"/>
      <c r="R106" s="36"/>
    </row>
    <row r="107" spans="1:18" s="47" customFormat="1" ht="12" x14ac:dyDescent="0.2">
      <c r="A107" s="104">
        <v>320</v>
      </c>
      <c r="B107" s="48" t="s">
        <v>306</v>
      </c>
      <c r="C107" s="49" t="s">
        <v>307</v>
      </c>
      <c r="D107" s="50">
        <v>43675</v>
      </c>
      <c r="E107" s="51" t="s">
        <v>181</v>
      </c>
      <c r="F107" s="49" t="s">
        <v>70</v>
      </c>
      <c r="G107" s="49" t="s">
        <v>120</v>
      </c>
      <c r="H107" s="49" t="s">
        <v>57</v>
      </c>
      <c r="I107" s="49" t="s">
        <v>57</v>
      </c>
      <c r="J107" s="49" t="s">
        <v>162</v>
      </c>
      <c r="K107" s="49"/>
      <c r="L107" s="50"/>
      <c r="M107" s="49"/>
      <c r="N107" s="49" t="s">
        <v>239</v>
      </c>
      <c r="O107" s="49"/>
      <c r="P107" s="50"/>
      <c r="Q107" s="52" t="s">
        <v>1694</v>
      </c>
      <c r="R107" s="36"/>
    </row>
    <row r="108" spans="1:18" s="47" customFormat="1" ht="12" x14ac:dyDescent="0.2">
      <c r="A108" s="104" t="e">
        <v>#N/A</v>
      </c>
      <c r="B108" s="48" t="s">
        <v>717</v>
      </c>
      <c r="C108" s="49" t="s">
        <v>718</v>
      </c>
      <c r="D108" s="50">
        <v>45537</v>
      </c>
      <c r="E108" s="51" t="s">
        <v>372</v>
      </c>
      <c r="F108" s="49" t="s">
        <v>72</v>
      </c>
      <c r="G108" s="49" t="s">
        <v>120</v>
      </c>
      <c r="H108" s="49" t="s">
        <v>57</v>
      </c>
      <c r="I108" s="49"/>
      <c r="J108" s="49" t="s">
        <v>1657</v>
      </c>
      <c r="K108" s="49"/>
      <c r="L108" s="50"/>
      <c r="M108" s="49"/>
      <c r="N108" s="49" t="s">
        <v>72</v>
      </c>
      <c r="O108" s="49"/>
      <c r="P108" s="50"/>
      <c r="Q108" s="52" t="s">
        <v>1792</v>
      </c>
      <c r="R108" s="36"/>
    </row>
    <row r="109" spans="1:18" s="47" customFormat="1" ht="12" x14ac:dyDescent="0.2">
      <c r="A109" s="104">
        <v>397</v>
      </c>
      <c r="B109" s="48" t="s">
        <v>424</v>
      </c>
      <c r="C109" s="49" t="s">
        <v>425</v>
      </c>
      <c r="D109" s="50">
        <v>44472</v>
      </c>
      <c r="E109" s="51" t="s">
        <v>426</v>
      </c>
      <c r="F109" s="49" t="s">
        <v>70</v>
      </c>
      <c r="G109" s="49" t="s">
        <v>338</v>
      </c>
      <c r="H109" s="49" t="s">
        <v>223</v>
      </c>
      <c r="I109" s="49" t="s">
        <v>223</v>
      </c>
      <c r="J109" s="49" t="s">
        <v>288</v>
      </c>
      <c r="K109" s="49"/>
      <c r="L109" s="50"/>
      <c r="M109" s="49"/>
      <c r="N109" s="49" t="s">
        <v>272</v>
      </c>
      <c r="O109" s="49"/>
      <c r="P109" s="50"/>
      <c r="Q109" s="52"/>
      <c r="R109" s="36"/>
    </row>
    <row r="110" spans="1:18" s="47" customFormat="1" ht="12" x14ac:dyDescent="0.2">
      <c r="A110" s="104">
        <v>591</v>
      </c>
      <c r="B110" s="53" t="s">
        <v>557</v>
      </c>
      <c r="C110" s="54" t="s">
        <v>558</v>
      </c>
      <c r="D110" s="50">
        <v>44963</v>
      </c>
      <c r="E110" s="55" t="s">
        <v>372</v>
      </c>
      <c r="F110" s="49" t="s">
        <v>73</v>
      </c>
      <c r="G110" s="49" t="s">
        <v>120</v>
      </c>
      <c r="H110" s="49" t="s">
        <v>59</v>
      </c>
      <c r="I110" s="49" t="s">
        <v>59</v>
      </c>
      <c r="J110" s="49" t="s">
        <v>667</v>
      </c>
      <c r="K110" s="49" t="s">
        <v>61</v>
      </c>
      <c r="L110" s="50">
        <v>45569</v>
      </c>
      <c r="M110" s="49" t="s">
        <v>549</v>
      </c>
      <c r="N110" s="49" t="s">
        <v>297</v>
      </c>
      <c r="O110" s="49" t="s">
        <v>175</v>
      </c>
      <c r="P110" s="50"/>
      <c r="Q110" s="52"/>
      <c r="R110" s="36"/>
    </row>
    <row r="111" spans="1:18" s="47" customFormat="1" ht="12" x14ac:dyDescent="0.2">
      <c r="A111" s="104">
        <v>693</v>
      </c>
      <c r="B111" s="48" t="s">
        <v>695</v>
      </c>
      <c r="C111" s="49" t="s">
        <v>696</v>
      </c>
      <c r="D111" s="50">
        <v>45481</v>
      </c>
      <c r="E111" s="51" t="s">
        <v>169</v>
      </c>
      <c r="F111" s="49" t="s">
        <v>70</v>
      </c>
      <c r="G111" s="49" t="s">
        <v>120</v>
      </c>
      <c r="H111" s="49" t="s">
        <v>57</v>
      </c>
      <c r="I111" s="49" t="s">
        <v>57</v>
      </c>
      <c r="J111" s="49" t="s">
        <v>162</v>
      </c>
      <c r="K111" s="49"/>
      <c r="L111" s="50"/>
      <c r="M111" s="49"/>
      <c r="N111" s="49" t="s">
        <v>163</v>
      </c>
      <c r="O111" s="49"/>
      <c r="P111" s="50"/>
      <c r="Q111" s="52" t="s">
        <v>1806</v>
      </c>
      <c r="R111" s="36"/>
    </row>
    <row r="112" spans="1:18" s="47" customFormat="1" ht="12" x14ac:dyDescent="0.2">
      <c r="A112" s="104">
        <v>404</v>
      </c>
      <c r="B112" s="48" t="s">
        <v>440</v>
      </c>
      <c r="C112" s="49" t="s">
        <v>441</v>
      </c>
      <c r="D112" s="50">
        <v>44534</v>
      </c>
      <c r="E112" s="51" t="s">
        <v>169</v>
      </c>
      <c r="F112" s="49" t="s">
        <v>70</v>
      </c>
      <c r="G112" s="49" t="s">
        <v>120</v>
      </c>
      <c r="H112" s="49" t="s">
        <v>57</v>
      </c>
      <c r="I112" s="49" t="s">
        <v>57</v>
      </c>
      <c r="J112" s="49" t="s">
        <v>231</v>
      </c>
      <c r="K112" s="49"/>
      <c r="L112" s="50"/>
      <c r="M112" s="49"/>
      <c r="N112" s="49" t="s">
        <v>72</v>
      </c>
      <c r="O112" s="49"/>
      <c r="P112" s="50"/>
      <c r="Q112" s="52" t="s">
        <v>442</v>
      </c>
      <c r="R112" s="36"/>
    </row>
    <row r="113" spans="1:18" s="47" customFormat="1" ht="12" x14ac:dyDescent="0.2">
      <c r="A113" s="104">
        <v>421</v>
      </c>
      <c r="B113" s="48" t="s">
        <v>382</v>
      </c>
      <c r="C113" s="49" t="s">
        <v>383</v>
      </c>
      <c r="D113" s="50">
        <v>44343</v>
      </c>
      <c r="E113" s="51" t="s">
        <v>169</v>
      </c>
      <c r="F113" s="49" t="s">
        <v>70</v>
      </c>
      <c r="G113" s="49" t="s">
        <v>120</v>
      </c>
      <c r="H113" s="49" t="s">
        <v>46</v>
      </c>
      <c r="I113" s="49" t="s">
        <v>46</v>
      </c>
      <c r="J113" s="49" t="s">
        <v>1668</v>
      </c>
      <c r="K113" s="49"/>
      <c r="L113" s="50"/>
      <c r="M113" s="49"/>
      <c r="N113" s="59" t="s">
        <v>1669</v>
      </c>
      <c r="O113" s="49"/>
      <c r="P113" s="50"/>
      <c r="Q113" s="52" t="s">
        <v>1695</v>
      </c>
      <c r="R113" s="36"/>
    </row>
    <row r="114" spans="1:18" s="47" customFormat="1" ht="12" x14ac:dyDescent="0.2">
      <c r="A114" s="104" t="e">
        <v>#N/A</v>
      </c>
      <c r="B114" s="48" t="s">
        <v>1499</v>
      </c>
      <c r="C114" s="49" t="s">
        <v>714</v>
      </c>
      <c r="D114" s="50">
        <v>45530</v>
      </c>
      <c r="E114" s="51" t="s">
        <v>206</v>
      </c>
      <c r="F114" s="49" t="s">
        <v>70</v>
      </c>
      <c r="G114" s="49" t="s">
        <v>122</v>
      </c>
      <c r="H114" s="49" t="s">
        <v>57</v>
      </c>
      <c r="I114" s="49"/>
      <c r="J114" s="49" t="s">
        <v>162</v>
      </c>
      <c r="K114" s="49"/>
      <c r="L114" s="50"/>
      <c r="M114" s="49"/>
      <c r="N114" s="59"/>
      <c r="O114" s="49"/>
      <c r="P114" s="50"/>
      <c r="Q114" s="52"/>
      <c r="R114" s="36"/>
    </row>
    <row r="115" spans="1:18" s="47" customFormat="1" ht="12" x14ac:dyDescent="0.2">
      <c r="A115" s="104">
        <v>680</v>
      </c>
      <c r="B115" s="48" t="s">
        <v>664</v>
      </c>
      <c r="C115" s="49" t="s">
        <v>665</v>
      </c>
      <c r="D115" s="50">
        <v>45386</v>
      </c>
      <c r="E115" s="51" t="s">
        <v>169</v>
      </c>
      <c r="F115" s="49" t="s">
        <v>70</v>
      </c>
      <c r="G115" s="49" t="s">
        <v>120</v>
      </c>
      <c r="H115" s="49" t="s">
        <v>61</v>
      </c>
      <c r="I115" s="49" t="s">
        <v>61</v>
      </c>
      <c r="J115" s="49" t="s">
        <v>314</v>
      </c>
      <c r="K115" s="49"/>
      <c r="L115" s="50"/>
      <c r="M115" s="49"/>
      <c r="N115" s="49" t="s">
        <v>175</v>
      </c>
      <c r="O115" s="49"/>
      <c r="P115" s="50"/>
      <c r="Q115" s="52"/>
      <c r="R115" s="36"/>
    </row>
    <row r="116" spans="1:18" s="47" customFormat="1" ht="12" x14ac:dyDescent="0.2">
      <c r="A116" s="104">
        <v>602</v>
      </c>
      <c r="B116" s="48" t="s">
        <v>596</v>
      </c>
      <c r="C116" s="49" t="s">
        <v>597</v>
      </c>
      <c r="D116" s="50">
        <v>45138</v>
      </c>
      <c r="E116" s="51" t="s">
        <v>1304</v>
      </c>
      <c r="F116" s="49" t="s">
        <v>70</v>
      </c>
      <c r="G116" s="49" t="s">
        <v>388</v>
      </c>
      <c r="H116" s="49" t="s">
        <v>46</v>
      </c>
      <c r="I116" s="49" t="s">
        <v>46</v>
      </c>
      <c r="J116" s="49" t="s">
        <v>387</v>
      </c>
      <c r="K116" s="49"/>
      <c r="L116" s="50"/>
      <c r="M116" s="49"/>
      <c r="N116" s="49" t="s">
        <v>388</v>
      </c>
      <c r="O116" s="49"/>
      <c r="P116" s="50"/>
      <c r="Q116" s="52"/>
      <c r="R116" s="36"/>
    </row>
    <row r="117" spans="1:18" s="47" customFormat="1" ht="12" x14ac:dyDescent="0.2">
      <c r="A117" s="104">
        <v>265</v>
      </c>
      <c r="B117" s="48" t="s">
        <v>254</v>
      </c>
      <c r="C117" s="49" t="s">
        <v>255</v>
      </c>
      <c r="D117" s="50">
        <v>42801</v>
      </c>
      <c r="E117" s="51" t="s">
        <v>256</v>
      </c>
      <c r="F117" s="49" t="s">
        <v>70</v>
      </c>
      <c r="G117" s="49" t="s">
        <v>1807</v>
      </c>
      <c r="H117" s="49" t="s">
        <v>46</v>
      </c>
      <c r="I117" s="49" t="s">
        <v>46</v>
      </c>
      <c r="J117" s="49" t="s">
        <v>187</v>
      </c>
      <c r="K117" s="49"/>
      <c r="L117" s="50"/>
      <c r="M117" s="49"/>
      <c r="N117" s="49" t="s">
        <v>1696</v>
      </c>
      <c r="O117" s="49"/>
      <c r="P117" s="50"/>
      <c r="Q117" s="52"/>
      <c r="R117" s="36"/>
    </row>
    <row r="118" spans="1:18" s="47" customFormat="1" ht="12" x14ac:dyDescent="0.2">
      <c r="A118" s="104">
        <v>506</v>
      </c>
      <c r="B118" s="48" t="s">
        <v>456</v>
      </c>
      <c r="C118" s="49" t="s">
        <v>457</v>
      </c>
      <c r="D118" s="50">
        <v>44669</v>
      </c>
      <c r="E118" s="51" t="s">
        <v>1393</v>
      </c>
      <c r="F118" s="49" t="s">
        <v>70</v>
      </c>
      <c r="G118" s="49" t="s">
        <v>467</v>
      </c>
      <c r="H118" s="49" t="s">
        <v>57</v>
      </c>
      <c r="I118" s="49" t="s">
        <v>57</v>
      </c>
      <c r="J118" s="49" t="s">
        <v>1697</v>
      </c>
      <c r="K118" s="49"/>
      <c r="L118" s="50"/>
      <c r="M118" s="49"/>
      <c r="N118" s="49" t="s">
        <v>1658</v>
      </c>
      <c r="O118" s="49"/>
      <c r="P118" s="50"/>
      <c r="Q118" s="52"/>
      <c r="R118" s="36"/>
    </row>
    <row r="119" spans="1:18" s="47" customFormat="1" ht="12" x14ac:dyDescent="0.2">
      <c r="A119" s="104">
        <v>390</v>
      </c>
      <c r="B119" s="48" t="s">
        <v>410</v>
      </c>
      <c r="C119" s="49" t="s">
        <v>411</v>
      </c>
      <c r="D119" s="50">
        <v>44441</v>
      </c>
      <c r="E119" s="51" t="s">
        <v>1698</v>
      </c>
      <c r="F119" s="49" t="s">
        <v>70</v>
      </c>
      <c r="G119" s="49" t="s">
        <v>121</v>
      </c>
      <c r="H119" s="49" t="s">
        <v>60</v>
      </c>
      <c r="I119" s="49" t="s">
        <v>60</v>
      </c>
      <c r="J119" s="49" t="s">
        <v>147</v>
      </c>
      <c r="K119" s="49"/>
      <c r="L119" s="50"/>
      <c r="M119" s="49"/>
      <c r="N119" s="49" t="s">
        <v>60</v>
      </c>
      <c r="O119" s="49"/>
      <c r="P119" s="50"/>
      <c r="Q119" s="52"/>
      <c r="R119" s="36"/>
    </row>
    <row r="120" spans="1:18" s="47" customFormat="1" ht="12" x14ac:dyDescent="0.2">
      <c r="A120" s="104">
        <v>154</v>
      </c>
      <c r="B120" s="48" t="s">
        <v>191</v>
      </c>
      <c r="C120" s="49" t="s">
        <v>192</v>
      </c>
      <c r="D120" s="50">
        <v>40959</v>
      </c>
      <c r="E120" s="51" t="s">
        <v>193</v>
      </c>
      <c r="F120" s="49" t="s">
        <v>70</v>
      </c>
      <c r="G120" s="49" t="s">
        <v>1767</v>
      </c>
      <c r="H120" s="49" t="s">
        <v>61</v>
      </c>
      <c r="I120" s="49" t="s">
        <v>61</v>
      </c>
      <c r="J120" s="49" t="s">
        <v>1691</v>
      </c>
      <c r="K120" s="49"/>
      <c r="L120" s="50"/>
      <c r="M120" s="49"/>
      <c r="N120" s="49" t="s">
        <v>175</v>
      </c>
      <c r="O120" s="49"/>
      <c r="P120" s="50"/>
      <c r="Q120" s="52"/>
      <c r="R120" s="36"/>
    </row>
    <row r="121" spans="1:18" s="47" customFormat="1" ht="12" x14ac:dyDescent="0.2">
      <c r="A121" s="104">
        <v>694</v>
      </c>
      <c r="B121" s="48" t="s">
        <v>702</v>
      </c>
      <c r="C121" s="49" t="s">
        <v>1808</v>
      </c>
      <c r="D121" s="50">
        <v>45502</v>
      </c>
      <c r="E121" s="51" t="s">
        <v>169</v>
      </c>
      <c r="F121" s="49" t="s">
        <v>70</v>
      </c>
      <c r="G121" s="49" t="s">
        <v>120</v>
      </c>
      <c r="H121" s="49" t="s">
        <v>46</v>
      </c>
      <c r="I121" s="49" t="s">
        <v>46</v>
      </c>
      <c r="J121" s="49" t="s">
        <v>1668</v>
      </c>
      <c r="K121" s="49"/>
      <c r="L121" s="50"/>
      <c r="M121" s="49"/>
      <c r="N121" s="59" t="s">
        <v>1809</v>
      </c>
      <c r="O121" s="49"/>
      <c r="P121" s="50"/>
      <c r="Q121" s="52"/>
      <c r="R121" s="36"/>
    </row>
    <row r="122" spans="1:18" s="47" customFormat="1" ht="12" x14ac:dyDescent="0.2">
      <c r="A122" s="104">
        <v>691</v>
      </c>
      <c r="B122" s="48" t="s">
        <v>689</v>
      </c>
      <c r="C122" s="49" t="s">
        <v>690</v>
      </c>
      <c r="D122" s="50">
        <v>45474</v>
      </c>
      <c r="E122" s="51" t="s">
        <v>691</v>
      </c>
      <c r="F122" s="49" t="s">
        <v>70</v>
      </c>
      <c r="G122" s="49" t="s">
        <v>1767</v>
      </c>
      <c r="H122" s="49" t="s">
        <v>59</v>
      </c>
      <c r="I122" s="49" t="s">
        <v>59</v>
      </c>
      <c r="J122" s="49" t="s">
        <v>194</v>
      </c>
      <c r="K122" s="49"/>
      <c r="L122" s="50"/>
      <c r="M122" s="49"/>
      <c r="N122" s="59" t="s">
        <v>302</v>
      </c>
      <c r="O122" s="49"/>
      <c r="P122" s="50"/>
      <c r="Q122" s="52"/>
      <c r="R122" s="36"/>
    </row>
    <row r="123" spans="1:18" s="47" customFormat="1" ht="12" x14ac:dyDescent="0.2">
      <c r="A123" s="104">
        <v>595</v>
      </c>
      <c r="B123" s="48" t="s">
        <v>573</v>
      </c>
      <c r="C123" s="49" t="s">
        <v>574</v>
      </c>
      <c r="D123" s="50">
        <v>44998</v>
      </c>
      <c r="E123" s="51" t="s">
        <v>206</v>
      </c>
      <c r="F123" s="49" t="s">
        <v>70</v>
      </c>
      <c r="G123" s="49" t="s">
        <v>122</v>
      </c>
      <c r="H123" s="49" t="s">
        <v>61</v>
      </c>
      <c r="I123" s="49" t="s">
        <v>61</v>
      </c>
      <c r="J123" s="49" t="s">
        <v>400</v>
      </c>
      <c r="K123" s="49"/>
      <c r="L123" s="50"/>
      <c r="M123" s="49"/>
      <c r="N123" s="49" t="s">
        <v>175</v>
      </c>
      <c r="O123" s="49"/>
      <c r="P123" s="50"/>
      <c r="Q123" s="52" t="s">
        <v>1786</v>
      </c>
      <c r="R123" s="36"/>
    </row>
    <row r="124" spans="1:18" s="47" customFormat="1" ht="12" x14ac:dyDescent="0.2">
      <c r="A124" s="104">
        <v>663</v>
      </c>
      <c r="B124" s="48" t="s">
        <v>562</v>
      </c>
      <c r="C124" s="49" t="s">
        <v>563</v>
      </c>
      <c r="D124" s="50">
        <v>44968</v>
      </c>
      <c r="E124" s="51" t="s">
        <v>464</v>
      </c>
      <c r="F124" s="49" t="s">
        <v>70</v>
      </c>
      <c r="G124" s="49" t="s">
        <v>347</v>
      </c>
      <c r="H124" s="49" t="s">
        <v>57</v>
      </c>
      <c r="I124" s="49" t="s">
        <v>57</v>
      </c>
      <c r="J124" s="49" t="s">
        <v>238</v>
      </c>
      <c r="K124" s="49"/>
      <c r="L124" s="50"/>
      <c r="M124" s="49"/>
      <c r="N124" s="49" t="s">
        <v>72</v>
      </c>
      <c r="O124" s="49"/>
      <c r="P124" s="50"/>
      <c r="Q124" s="52" t="s">
        <v>564</v>
      </c>
      <c r="R124" s="36"/>
    </row>
    <row r="125" spans="1:18" s="47" customFormat="1" ht="12" x14ac:dyDescent="0.2">
      <c r="A125" s="104">
        <v>550</v>
      </c>
      <c r="B125" s="53" t="s">
        <v>506</v>
      </c>
      <c r="C125" s="54" t="s">
        <v>507</v>
      </c>
      <c r="D125" s="50">
        <v>44844</v>
      </c>
      <c r="E125" s="55" t="s">
        <v>508</v>
      </c>
      <c r="F125" s="49" t="s">
        <v>72</v>
      </c>
      <c r="G125" s="49" t="s">
        <v>118</v>
      </c>
      <c r="H125" s="49" t="s">
        <v>57</v>
      </c>
      <c r="I125" s="49" t="s">
        <v>57</v>
      </c>
      <c r="J125" s="49" t="s">
        <v>1661</v>
      </c>
      <c r="K125" s="49"/>
      <c r="L125" s="50"/>
      <c r="M125" s="49"/>
      <c r="N125" s="49" t="s">
        <v>72</v>
      </c>
      <c r="O125" s="49"/>
      <c r="P125" s="50"/>
      <c r="Q125" s="52"/>
      <c r="R125" s="36"/>
    </row>
    <row r="126" spans="1:18" s="47" customFormat="1" ht="12" x14ac:dyDescent="0.2">
      <c r="A126" s="104">
        <v>675</v>
      </c>
      <c r="B126" s="48" t="s">
        <v>639</v>
      </c>
      <c r="C126" s="49" t="s">
        <v>640</v>
      </c>
      <c r="D126" s="50">
        <v>45295</v>
      </c>
      <c r="E126" s="51" t="s">
        <v>206</v>
      </c>
      <c r="F126" s="49" t="s">
        <v>70</v>
      </c>
      <c r="G126" s="49" t="s">
        <v>122</v>
      </c>
      <c r="H126" s="49" t="s">
        <v>57</v>
      </c>
      <c r="I126" s="49" t="s">
        <v>57</v>
      </c>
      <c r="J126" s="49" t="s">
        <v>536</v>
      </c>
      <c r="K126" s="49"/>
      <c r="L126" s="50"/>
      <c r="M126" s="49"/>
      <c r="N126" s="49" t="s">
        <v>72</v>
      </c>
      <c r="O126" s="49"/>
      <c r="P126" s="50"/>
      <c r="Q126" s="52"/>
      <c r="R126" s="36"/>
    </row>
    <row r="127" spans="1:18" s="47" customFormat="1" ht="12" x14ac:dyDescent="0.2">
      <c r="A127" s="104">
        <v>627</v>
      </c>
      <c r="B127" s="48" t="s">
        <v>586</v>
      </c>
      <c r="C127" s="49" t="s">
        <v>587</v>
      </c>
      <c r="D127" s="50">
        <v>45115</v>
      </c>
      <c r="E127" s="51" t="s">
        <v>588</v>
      </c>
      <c r="F127" s="49" t="s">
        <v>70</v>
      </c>
      <c r="G127" s="49" t="s">
        <v>1799</v>
      </c>
      <c r="H127" s="49" t="s">
        <v>46</v>
      </c>
      <c r="I127" s="49" t="s">
        <v>46</v>
      </c>
      <c r="J127" s="49" t="s">
        <v>387</v>
      </c>
      <c r="K127" s="49"/>
      <c r="L127" s="50"/>
      <c r="M127" s="49"/>
      <c r="N127" s="49" t="s">
        <v>388</v>
      </c>
      <c r="O127" s="49"/>
      <c r="P127" s="50"/>
      <c r="Q127" s="52"/>
      <c r="R127" s="36"/>
    </row>
    <row r="128" spans="1:18" s="47" customFormat="1" ht="12" x14ac:dyDescent="0.2">
      <c r="A128" s="104">
        <v>692</v>
      </c>
      <c r="B128" s="48" t="s">
        <v>692</v>
      </c>
      <c r="C128" s="49" t="s">
        <v>693</v>
      </c>
      <c r="D128" s="50">
        <v>45474</v>
      </c>
      <c r="E128" s="51" t="s">
        <v>1701</v>
      </c>
      <c r="F128" s="49" t="s">
        <v>70</v>
      </c>
      <c r="G128" s="49" t="s">
        <v>121</v>
      </c>
      <c r="H128" s="49" t="s">
        <v>59</v>
      </c>
      <c r="I128" s="49" t="s">
        <v>59</v>
      </c>
      <c r="J128" s="49" t="s">
        <v>334</v>
      </c>
      <c r="K128" s="49"/>
      <c r="L128" s="50"/>
      <c r="M128" s="49"/>
      <c r="N128" s="49" t="s">
        <v>302</v>
      </c>
      <c r="O128" s="49"/>
      <c r="P128" s="50"/>
      <c r="Q128" s="52"/>
      <c r="R128" s="36"/>
    </row>
    <row r="129" spans="1:18" s="47" customFormat="1" ht="12" x14ac:dyDescent="0.2">
      <c r="A129" s="104">
        <v>565</v>
      </c>
      <c r="B129" s="48" t="s">
        <v>522</v>
      </c>
      <c r="C129" s="49" t="s">
        <v>523</v>
      </c>
      <c r="D129" s="50">
        <v>44879</v>
      </c>
      <c r="E129" s="51" t="s">
        <v>1140</v>
      </c>
      <c r="F129" s="49" t="s">
        <v>70</v>
      </c>
      <c r="G129" s="49" t="s">
        <v>122</v>
      </c>
      <c r="H129" s="49" t="s">
        <v>61</v>
      </c>
      <c r="I129" s="49" t="s">
        <v>59</v>
      </c>
      <c r="J129" s="49" t="s">
        <v>400</v>
      </c>
      <c r="K129" s="49" t="s">
        <v>61</v>
      </c>
      <c r="L129" s="50">
        <v>45467</v>
      </c>
      <c r="M129" s="49" t="s">
        <v>392</v>
      </c>
      <c r="N129" s="49" t="s">
        <v>343</v>
      </c>
      <c r="O129" s="49" t="s">
        <v>175</v>
      </c>
      <c r="P129" s="50"/>
      <c r="Q129" s="52"/>
      <c r="R129" s="36"/>
    </row>
    <row r="130" spans="1:18" s="47" customFormat="1" ht="12" x14ac:dyDescent="0.2">
      <c r="A130" s="104">
        <v>699</v>
      </c>
      <c r="B130" s="48" t="s">
        <v>1791</v>
      </c>
      <c r="C130" s="49" t="s">
        <v>705</v>
      </c>
      <c r="D130" s="50">
        <v>45502</v>
      </c>
      <c r="E130" s="51" t="s">
        <v>206</v>
      </c>
      <c r="F130" s="49" t="s">
        <v>70</v>
      </c>
      <c r="G130" s="49" t="s">
        <v>122</v>
      </c>
      <c r="H130" s="49" t="s">
        <v>46</v>
      </c>
      <c r="I130" s="49" t="s">
        <v>1810</v>
      </c>
      <c r="J130" s="49" t="s">
        <v>207</v>
      </c>
      <c r="K130" s="49"/>
      <c r="L130" s="50"/>
      <c r="M130" s="49"/>
      <c r="N130" s="49"/>
      <c r="O130" s="49"/>
      <c r="P130" s="50"/>
      <c r="Q130" s="52"/>
      <c r="R130" s="36"/>
    </row>
    <row r="131" spans="1:18" s="47" customFormat="1" ht="12" x14ac:dyDescent="0.2">
      <c r="A131" s="104">
        <v>662</v>
      </c>
      <c r="B131" s="48" t="s">
        <v>632</v>
      </c>
      <c r="C131" s="49" t="s">
        <v>633</v>
      </c>
      <c r="D131" s="50">
        <v>45088</v>
      </c>
      <c r="E131" s="51" t="s">
        <v>169</v>
      </c>
      <c r="F131" s="49" t="s">
        <v>70</v>
      </c>
      <c r="G131" s="49" t="s">
        <v>120</v>
      </c>
      <c r="H131" s="49" t="s">
        <v>57</v>
      </c>
      <c r="I131" s="49" t="s">
        <v>57</v>
      </c>
      <c r="J131" s="49" t="s">
        <v>231</v>
      </c>
      <c r="K131" s="49"/>
      <c r="L131" s="50"/>
      <c r="M131" s="49"/>
      <c r="N131" s="49" t="s">
        <v>72</v>
      </c>
      <c r="O131" s="49"/>
      <c r="P131" s="50"/>
      <c r="Q131" s="52"/>
      <c r="R131" s="36"/>
    </row>
    <row r="132" spans="1:18" s="47" customFormat="1" ht="12" x14ac:dyDescent="0.2">
      <c r="A132" s="104">
        <v>563</v>
      </c>
      <c r="B132" s="48" t="s">
        <v>520</v>
      </c>
      <c r="C132" s="49" t="s">
        <v>521</v>
      </c>
      <c r="D132" s="50">
        <v>44879</v>
      </c>
      <c r="E132" s="51" t="s">
        <v>372</v>
      </c>
      <c r="F132" s="49" t="s">
        <v>70</v>
      </c>
      <c r="G132" s="49" t="s">
        <v>120</v>
      </c>
      <c r="H132" s="49" t="s">
        <v>57</v>
      </c>
      <c r="I132" s="49" t="s">
        <v>57</v>
      </c>
      <c r="J132" s="49" t="s">
        <v>231</v>
      </c>
      <c r="K132" s="49"/>
      <c r="L132" s="50"/>
      <c r="M132" s="49"/>
      <c r="N132" s="49" t="s">
        <v>72</v>
      </c>
      <c r="O132" s="49"/>
      <c r="P132" s="50"/>
      <c r="Q132" s="52"/>
      <c r="R132" s="36"/>
    </row>
    <row r="133" spans="1:18" s="47" customFormat="1" ht="12" x14ac:dyDescent="0.2">
      <c r="A133" s="104">
        <v>629</v>
      </c>
      <c r="B133" s="48" t="s">
        <v>601</v>
      </c>
      <c r="C133" s="49" t="s">
        <v>602</v>
      </c>
      <c r="D133" s="50">
        <v>45159</v>
      </c>
      <c r="E133" s="51" t="s">
        <v>169</v>
      </c>
      <c r="F133" s="49" t="s">
        <v>70</v>
      </c>
      <c r="G133" s="49" t="s">
        <v>120</v>
      </c>
      <c r="H133" s="49" t="s">
        <v>57</v>
      </c>
      <c r="I133" s="49" t="s">
        <v>57</v>
      </c>
      <c r="J133" s="49" t="s">
        <v>231</v>
      </c>
      <c r="K133" s="49"/>
      <c r="L133" s="50"/>
      <c r="M133" s="49"/>
      <c r="N133" s="49" t="s">
        <v>72</v>
      </c>
      <c r="O133" s="49"/>
      <c r="P133" s="50"/>
      <c r="Q133" s="52"/>
      <c r="R133" s="36"/>
    </row>
    <row r="134" spans="1:18" s="47" customFormat="1" ht="13.15" customHeight="1" x14ac:dyDescent="0.2">
      <c r="A134" s="104">
        <v>60</v>
      </c>
      <c r="B134" s="48" t="s">
        <v>151</v>
      </c>
      <c r="C134" s="49" t="s">
        <v>152</v>
      </c>
      <c r="D134" s="50">
        <v>36787</v>
      </c>
      <c r="E134" s="51" t="s">
        <v>153</v>
      </c>
      <c r="F134" s="49" t="s">
        <v>70</v>
      </c>
      <c r="G134" s="49" t="s">
        <v>121</v>
      </c>
      <c r="H134" s="49" t="s">
        <v>60</v>
      </c>
      <c r="I134" s="49" t="s">
        <v>60</v>
      </c>
      <c r="J134" s="49" t="s">
        <v>147</v>
      </c>
      <c r="K134" s="49"/>
      <c r="L134" s="50"/>
      <c r="M134" s="49"/>
      <c r="N134" s="49" t="s">
        <v>60</v>
      </c>
      <c r="O134" s="49"/>
      <c r="P134" s="50"/>
      <c r="Q134" s="52"/>
      <c r="R134" s="36"/>
    </row>
    <row r="135" spans="1:18" s="47" customFormat="1" ht="12" x14ac:dyDescent="0.2">
      <c r="A135" s="104">
        <v>197</v>
      </c>
      <c r="B135" s="48" t="s">
        <v>217</v>
      </c>
      <c r="C135" s="49" t="s">
        <v>218</v>
      </c>
      <c r="D135" s="50">
        <v>41652</v>
      </c>
      <c r="E135" s="51" t="s">
        <v>219</v>
      </c>
      <c r="F135" s="49" t="s">
        <v>70</v>
      </c>
      <c r="G135" s="49" t="s">
        <v>121</v>
      </c>
      <c r="H135" s="49" t="s">
        <v>223</v>
      </c>
      <c r="I135" s="49" t="s">
        <v>223</v>
      </c>
      <c r="J135" s="49" t="s">
        <v>221</v>
      </c>
      <c r="K135" s="49"/>
      <c r="L135" s="50"/>
      <c r="M135" s="49"/>
      <c r="N135" s="49" t="s">
        <v>222</v>
      </c>
      <c r="O135" s="49"/>
      <c r="P135" s="50"/>
      <c r="Q135" s="52"/>
      <c r="R135" s="36"/>
    </row>
    <row r="136" spans="1:18" s="47" customFormat="1" ht="12" x14ac:dyDescent="0.2">
      <c r="A136" s="104">
        <v>549</v>
      </c>
      <c r="B136" s="48" t="s">
        <v>503</v>
      </c>
      <c r="C136" s="49" t="s">
        <v>504</v>
      </c>
      <c r="D136" s="50">
        <v>44844</v>
      </c>
      <c r="E136" s="51" t="s">
        <v>505</v>
      </c>
      <c r="F136" s="49" t="s">
        <v>70</v>
      </c>
      <c r="G136" s="49" t="s">
        <v>121</v>
      </c>
      <c r="H136" s="49" t="s">
        <v>61</v>
      </c>
      <c r="I136" s="49" t="s">
        <v>61</v>
      </c>
      <c r="J136" s="49" t="s">
        <v>1691</v>
      </c>
      <c r="K136" s="49"/>
      <c r="L136" s="50"/>
      <c r="M136" s="49"/>
      <c r="N136" s="49" t="s">
        <v>419</v>
      </c>
      <c r="O136" s="49"/>
      <c r="P136" s="50"/>
      <c r="Q136" s="52"/>
      <c r="R136" s="36"/>
    </row>
    <row r="137" spans="1:18" s="47" customFormat="1" ht="12" x14ac:dyDescent="0.2">
      <c r="A137" s="104">
        <v>428</v>
      </c>
      <c r="B137" s="48" t="s">
        <v>398</v>
      </c>
      <c r="C137" s="49" t="s">
        <v>399</v>
      </c>
      <c r="D137" s="50">
        <v>44361</v>
      </c>
      <c r="E137" s="51" t="s">
        <v>318</v>
      </c>
      <c r="F137" s="49" t="s">
        <v>70</v>
      </c>
      <c r="G137" s="49" t="s">
        <v>122</v>
      </c>
      <c r="H137" s="49" t="s">
        <v>61</v>
      </c>
      <c r="I137" s="49" t="s">
        <v>61</v>
      </c>
      <c r="J137" s="49" t="s">
        <v>400</v>
      </c>
      <c r="K137" s="49"/>
      <c r="L137" s="50"/>
      <c r="M137" s="49"/>
      <c r="N137" s="49" t="s">
        <v>419</v>
      </c>
      <c r="O137" s="49" t="s">
        <v>175</v>
      </c>
      <c r="P137" s="50"/>
      <c r="Q137" s="52" t="s">
        <v>1702</v>
      </c>
      <c r="R137" s="36"/>
    </row>
    <row r="138" spans="1:18" s="47" customFormat="1" ht="12" x14ac:dyDescent="0.2">
      <c r="A138" s="104">
        <v>411</v>
      </c>
      <c r="B138" s="48" t="s">
        <v>427</v>
      </c>
      <c r="C138" s="49" t="s">
        <v>428</v>
      </c>
      <c r="D138" s="50">
        <v>44474</v>
      </c>
      <c r="E138" s="51" t="s">
        <v>169</v>
      </c>
      <c r="F138" s="49" t="s">
        <v>70</v>
      </c>
      <c r="G138" s="49" t="s">
        <v>120</v>
      </c>
      <c r="H138" s="49" t="s">
        <v>57</v>
      </c>
      <c r="I138" s="49" t="s">
        <v>57</v>
      </c>
      <c r="J138" s="49" t="s">
        <v>231</v>
      </c>
      <c r="K138" s="49"/>
      <c r="L138" s="50"/>
      <c r="M138" s="49"/>
      <c r="N138" s="49" t="s">
        <v>72</v>
      </c>
      <c r="O138" s="49"/>
      <c r="P138" s="50"/>
      <c r="Q138" s="52"/>
      <c r="R138" s="36"/>
    </row>
    <row r="139" spans="1:18" s="47" customFormat="1" ht="12" x14ac:dyDescent="0.2">
      <c r="A139" s="104">
        <v>686</v>
      </c>
      <c r="B139" s="48" t="s">
        <v>682</v>
      </c>
      <c r="C139" s="60" t="s">
        <v>683</v>
      </c>
      <c r="D139" s="50">
        <v>45439</v>
      </c>
      <c r="E139" s="60" t="s">
        <v>169</v>
      </c>
      <c r="F139" s="49" t="s">
        <v>70</v>
      </c>
      <c r="G139" s="49" t="s">
        <v>120</v>
      </c>
      <c r="H139" s="49" t="s">
        <v>59</v>
      </c>
      <c r="I139" s="49" t="s">
        <v>59</v>
      </c>
      <c r="J139" s="49" t="s">
        <v>1663</v>
      </c>
      <c r="K139" s="49"/>
      <c r="L139" s="50"/>
      <c r="M139" s="49"/>
      <c r="N139" s="49" t="s">
        <v>1664</v>
      </c>
      <c r="O139" s="49"/>
      <c r="P139" s="50"/>
      <c r="Q139" s="52"/>
      <c r="R139" s="36"/>
    </row>
    <row r="140" spans="1:18" s="47" customFormat="1" ht="12" x14ac:dyDescent="0.2">
      <c r="A140" s="104">
        <v>509</v>
      </c>
      <c r="B140" s="48" t="s">
        <v>459</v>
      </c>
      <c r="C140" s="49" t="s">
        <v>460</v>
      </c>
      <c r="D140" s="50">
        <v>44704</v>
      </c>
      <c r="E140" s="51" t="s">
        <v>1703</v>
      </c>
      <c r="F140" s="49" t="s">
        <v>70</v>
      </c>
      <c r="G140" s="49" t="s">
        <v>121</v>
      </c>
      <c r="H140" s="49" t="s">
        <v>46</v>
      </c>
      <c r="I140" s="49" t="s">
        <v>46</v>
      </c>
      <c r="J140" s="49" t="s">
        <v>157</v>
      </c>
      <c r="K140" s="49"/>
      <c r="L140" s="50"/>
      <c r="M140" s="49"/>
      <c r="N140" s="49" t="s">
        <v>46</v>
      </c>
      <c r="O140" s="49"/>
      <c r="P140" s="50"/>
      <c r="Q140" s="52"/>
      <c r="R140" s="36"/>
    </row>
    <row r="141" spans="1:18" s="47" customFormat="1" ht="12" x14ac:dyDescent="0.2">
      <c r="A141" s="104">
        <v>613</v>
      </c>
      <c r="B141" s="48" t="s">
        <v>589</v>
      </c>
      <c r="C141" s="49" t="s">
        <v>590</v>
      </c>
      <c r="D141" s="50">
        <v>45115</v>
      </c>
      <c r="E141" s="51" t="s">
        <v>591</v>
      </c>
      <c r="F141" s="49" t="s">
        <v>70</v>
      </c>
      <c r="G141" s="49" t="s">
        <v>1787</v>
      </c>
      <c r="H141" s="49" t="s">
        <v>61</v>
      </c>
      <c r="I141" s="49" t="s">
        <v>61</v>
      </c>
      <c r="J141" s="49" t="s">
        <v>314</v>
      </c>
      <c r="K141" s="49"/>
      <c r="L141" s="50"/>
      <c r="M141" s="49"/>
      <c r="N141" s="49" t="s">
        <v>467</v>
      </c>
      <c r="O141" s="49"/>
      <c r="P141" s="50"/>
      <c r="Q141" s="52"/>
      <c r="R141" s="36"/>
    </row>
    <row r="142" spans="1:18" s="47" customFormat="1" ht="12" x14ac:dyDescent="0.2">
      <c r="A142" s="104">
        <v>612</v>
      </c>
      <c r="B142" s="48" t="s">
        <v>592</v>
      </c>
      <c r="C142" s="49" t="s">
        <v>593</v>
      </c>
      <c r="D142" s="50">
        <v>45138</v>
      </c>
      <c r="E142" s="51" t="s">
        <v>594</v>
      </c>
      <c r="F142" s="49" t="s">
        <v>70</v>
      </c>
      <c r="G142" s="49" t="s">
        <v>118</v>
      </c>
      <c r="H142" s="49" t="s">
        <v>57</v>
      </c>
      <c r="I142" s="49" t="s">
        <v>57</v>
      </c>
      <c r="J142" s="49" t="s">
        <v>1689</v>
      </c>
      <c r="K142" s="49"/>
      <c r="L142" s="50"/>
      <c r="M142" s="49"/>
      <c r="N142" s="49" t="s">
        <v>239</v>
      </c>
      <c r="O142" s="49"/>
      <c r="P142" s="50"/>
      <c r="Q142" s="52"/>
      <c r="R142" s="36"/>
    </row>
    <row r="143" spans="1:18" s="47" customFormat="1" ht="12" x14ac:dyDescent="0.2">
      <c r="A143" s="104">
        <v>689</v>
      </c>
      <c r="B143" s="48" t="s">
        <v>685</v>
      </c>
      <c r="C143" s="49" t="s">
        <v>686</v>
      </c>
      <c r="D143" s="50">
        <v>45460</v>
      </c>
      <c r="E143" s="51" t="s">
        <v>206</v>
      </c>
      <c r="F143" s="49" t="s">
        <v>70</v>
      </c>
      <c r="G143" s="49" t="s">
        <v>122</v>
      </c>
      <c r="H143" s="49" t="s">
        <v>61</v>
      </c>
      <c r="I143" s="49" t="s">
        <v>61</v>
      </c>
      <c r="J143" s="49" t="s">
        <v>400</v>
      </c>
      <c r="K143" s="49"/>
      <c r="L143" s="50"/>
      <c r="M143" s="49"/>
      <c r="N143" s="49" t="s">
        <v>1704</v>
      </c>
      <c r="O143" s="49"/>
      <c r="P143" s="50"/>
      <c r="Q143" s="52"/>
      <c r="R143" s="36"/>
    </row>
    <row r="144" spans="1:18" s="47" customFormat="1" ht="12" x14ac:dyDescent="0.2">
      <c r="A144" s="104">
        <v>659</v>
      </c>
      <c r="B144" s="48" t="s">
        <v>629</v>
      </c>
      <c r="C144" s="49" t="s">
        <v>630</v>
      </c>
      <c r="D144" s="50">
        <v>45231</v>
      </c>
      <c r="E144" s="51" t="s">
        <v>631</v>
      </c>
      <c r="F144" s="49" t="s">
        <v>70</v>
      </c>
      <c r="G144" s="49" t="s">
        <v>121</v>
      </c>
      <c r="H144" s="49" t="s">
        <v>223</v>
      </c>
      <c r="I144" s="49" t="s">
        <v>223</v>
      </c>
      <c r="J144" s="49" t="s">
        <v>288</v>
      </c>
      <c r="K144" s="49"/>
      <c r="L144" s="50"/>
      <c r="M144" s="49"/>
      <c r="N144" s="49" t="s">
        <v>272</v>
      </c>
      <c r="O144" s="49"/>
      <c r="P144" s="50"/>
      <c r="Q144" s="52"/>
      <c r="R144" s="36"/>
    </row>
    <row r="145" spans="1:18" s="47" customFormat="1" ht="12" x14ac:dyDescent="0.2">
      <c r="A145" s="104">
        <v>583</v>
      </c>
      <c r="B145" s="48" t="s">
        <v>544</v>
      </c>
      <c r="C145" s="49" t="s">
        <v>545</v>
      </c>
      <c r="D145" s="50">
        <v>44951</v>
      </c>
      <c r="E145" s="51" t="s">
        <v>169</v>
      </c>
      <c r="F145" s="49" t="s">
        <v>70</v>
      </c>
      <c r="G145" s="49" t="s">
        <v>120</v>
      </c>
      <c r="H145" s="49" t="s">
        <v>59</v>
      </c>
      <c r="I145" s="49" t="s">
        <v>59</v>
      </c>
      <c r="J145" s="49" t="s">
        <v>1663</v>
      </c>
      <c r="K145" s="49"/>
      <c r="L145" s="50"/>
      <c r="M145" s="49"/>
      <c r="N145" s="49" t="s">
        <v>467</v>
      </c>
      <c r="O145" s="49"/>
      <c r="P145" s="50"/>
      <c r="Q145" s="52"/>
      <c r="R145" s="36"/>
    </row>
    <row r="146" spans="1:18" s="47" customFormat="1" ht="13.15" customHeight="1" x14ac:dyDescent="0.2">
      <c r="A146" s="104">
        <v>147</v>
      </c>
      <c r="B146" s="48" t="s">
        <v>264</v>
      </c>
      <c r="C146" s="49" t="s">
        <v>265</v>
      </c>
      <c r="D146" s="50">
        <v>43066</v>
      </c>
      <c r="E146" s="51" t="s">
        <v>266</v>
      </c>
      <c r="F146" s="49" t="s">
        <v>70</v>
      </c>
      <c r="G146" s="49" t="s">
        <v>119</v>
      </c>
      <c r="H146" s="49" t="s">
        <v>57</v>
      </c>
      <c r="I146" s="49" t="s">
        <v>57</v>
      </c>
      <c r="J146" s="49" t="s">
        <v>490</v>
      </c>
      <c r="K146" s="49"/>
      <c r="L146" s="50"/>
      <c r="M146" s="49"/>
      <c r="N146" s="49" t="s">
        <v>1670</v>
      </c>
      <c r="O146" s="49"/>
      <c r="P146" s="50"/>
      <c r="Q146" s="52"/>
      <c r="R146" s="36"/>
    </row>
    <row r="147" spans="1:18" s="47" customFormat="1" ht="12" x14ac:dyDescent="0.2">
      <c r="A147" s="104">
        <v>473</v>
      </c>
      <c r="B147" s="48" t="s">
        <v>446</v>
      </c>
      <c r="C147" s="49" t="s">
        <v>447</v>
      </c>
      <c r="D147" s="61" t="s">
        <v>1705</v>
      </c>
      <c r="E147" s="51" t="s">
        <v>206</v>
      </c>
      <c r="F147" s="49" t="s">
        <v>70</v>
      </c>
      <c r="G147" s="49" t="s">
        <v>122</v>
      </c>
      <c r="H147" s="49" t="s">
        <v>57</v>
      </c>
      <c r="I147" s="49" t="s">
        <v>57</v>
      </c>
      <c r="J147" s="49" t="s">
        <v>162</v>
      </c>
      <c r="K147" s="49"/>
      <c r="L147" s="50"/>
      <c r="M147" s="49"/>
      <c r="N147" s="49" t="s">
        <v>163</v>
      </c>
      <c r="O147" s="49"/>
      <c r="P147" s="50"/>
      <c r="Q147" s="52"/>
      <c r="R147" s="36"/>
    </row>
    <row r="148" spans="1:18" s="47" customFormat="1" ht="12" x14ac:dyDescent="0.2">
      <c r="A148" s="104">
        <v>630</v>
      </c>
      <c r="B148" s="48" t="s">
        <v>607</v>
      </c>
      <c r="C148" s="49" t="s">
        <v>608</v>
      </c>
      <c r="D148" s="50">
        <v>45169</v>
      </c>
      <c r="E148" s="51" t="s">
        <v>609</v>
      </c>
      <c r="F148" s="49" t="s">
        <v>70</v>
      </c>
      <c r="G148" s="49" t="s">
        <v>227</v>
      </c>
      <c r="H148" s="49" t="s">
        <v>223</v>
      </c>
      <c r="I148" s="49" t="s">
        <v>223</v>
      </c>
      <c r="J148" s="49" t="s">
        <v>221</v>
      </c>
      <c r="K148" s="49"/>
      <c r="L148" s="50"/>
      <c r="M148" s="49"/>
      <c r="N148" s="49" t="s">
        <v>227</v>
      </c>
      <c r="O148" s="49"/>
      <c r="P148" s="50"/>
      <c r="Q148" s="52"/>
      <c r="R148" s="36"/>
    </row>
    <row r="149" spans="1:18" s="47" customFormat="1" ht="12" x14ac:dyDescent="0.2">
      <c r="A149" s="104">
        <v>249</v>
      </c>
      <c r="B149" s="48" t="s">
        <v>241</v>
      </c>
      <c r="C149" s="49" t="s">
        <v>242</v>
      </c>
      <c r="D149" s="50">
        <v>42377</v>
      </c>
      <c r="E149" s="51" t="s">
        <v>1706</v>
      </c>
      <c r="F149" s="49" t="s">
        <v>70</v>
      </c>
      <c r="G149" s="49" t="s">
        <v>121</v>
      </c>
      <c r="H149" s="49" t="s">
        <v>60</v>
      </c>
      <c r="I149" s="49" t="s">
        <v>60</v>
      </c>
      <c r="J149" s="49" t="s">
        <v>147</v>
      </c>
      <c r="K149" s="49"/>
      <c r="L149" s="50"/>
      <c r="M149" s="49"/>
      <c r="N149" s="49" t="s">
        <v>60</v>
      </c>
      <c r="O149" s="49"/>
      <c r="P149" s="50"/>
      <c r="Q149" s="52"/>
      <c r="R149" s="36"/>
    </row>
    <row r="150" spans="1:18" s="47" customFormat="1" ht="12" x14ac:dyDescent="0.2">
      <c r="A150" s="104">
        <v>589</v>
      </c>
      <c r="B150" s="56" t="s">
        <v>553</v>
      </c>
      <c r="C150" s="57" t="s">
        <v>554</v>
      </c>
      <c r="D150" s="50">
        <v>44963</v>
      </c>
      <c r="E150" s="55" t="s">
        <v>372</v>
      </c>
      <c r="F150" s="49" t="s">
        <v>73</v>
      </c>
      <c r="G150" s="49" t="s">
        <v>120</v>
      </c>
      <c r="H150" s="100" t="s">
        <v>61</v>
      </c>
      <c r="I150" s="49" t="s">
        <v>59</v>
      </c>
      <c r="J150" s="49" t="s">
        <v>667</v>
      </c>
      <c r="K150" s="49" t="s">
        <v>61</v>
      </c>
      <c r="L150" s="94">
        <v>45569</v>
      </c>
      <c r="M150" s="49" t="s">
        <v>549</v>
      </c>
      <c r="N150" s="49" t="s">
        <v>1707</v>
      </c>
      <c r="O150" s="49" t="s">
        <v>343</v>
      </c>
      <c r="P150" s="50"/>
      <c r="Q150" s="52" t="s">
        <v>1708</v>
      </c>
      <c r="R150" s="36"/>
    </row>
    <row r="151" spans="1:18" s="47" customFormat="1" ht="12" x14ac:dyDescent="0.2">
      <c r="A151" s="104">
        <v>484</v>
      </c>
      <c r="B151" s="48" t="s">
        <v>384</v>
      </c>
      <c r="C151" s="49" t="s">
        <v>385</v>
      </c>
      <c r="D151" s="50">
        <v>44359</v>
      </c>
      <c r="E151" s="51" t="s">
        <v>386</v>
      </c>
      <c r="F151" s="49" t="s">
        <v>70</v>
      </c>
      <c r="G151" s="49" t="s">
        <v>347</v>
      </c>
      <c r="H151" s="49" t="s">
        <v>46</v>
      </c>
      <c r="I151" s="49" t="s">
        <v>46</v>
      </c>
      <c r="J151" s="49" t="s">
        <v>187</v>
      </c>
      <c r="K151" s="49"/>
      <c r="L151" s="50"/>
      <c r="M151" s="49"/>
      <c r="N151" s="49" t="s">
        <v>46</v>
      </c>
      <c r="O151" s="49"/>
      <c r="P151" s="50"/>
      <c r="Q151" s="52"/>
      <c r="R151" s="36"/>
    </row>
    <row r="152" spans="1:18" s="47" customFormat="1" ht="12" x14ac:dyDescent="0.2">
      <c r="A152" s="104">
        <v>513</v>
      </c>
      <c r="B152" s="48" t="s">
        <v>1709</v>
      </c>
      <c r="C152" s="49" t="s">
        <v>463</v>
      </c>
      <c r="D152" s="50">
        <v>44718</v>
      </c>
      <c r="E152" s="51" t="s">
        <v>769</v>
      </c>
      <c r="F152" s="49" t="s">
        <v>70</v>
      </c>
      <c r="G152" s="49" t="s">
        <v>467</v>
      </c>
      <c r="H152" s="49" t="s">
        <v>61</v>
      </c>
      <c r="I152" s="49" t="s">
        <v>1710</v>
      </c>
      <c r="J152" s="49" t="s">
        <v>1674</v>
      </c>
      <c r="K152" s="49" t="s">
        <v>465</v>
      </c>
      <c r="L152" s="50">
        <v>45616</v>
      </c>
      <c r="M152" s="49" t="s">
        <v>466</v>
      </c>
      <c r="N152" s="49" t="s">
        <v>467</v>
      </c>
      <c r="O152" s="49" t="s">
        <v>467</v>
      </c>
      <c r="P152" s="50"/>
      <c r="Q152" s="52"/>
      <c r="R152" s="36"/>
    </row>
    <row r="153" spans="1:18" s="47" customFormat="1" ht="12" x14ac:dyDescent="0.2">
      <c r="A153" s="104">
        <v>647</v>
      </c>
      <c r="B153" s="48" t="s">
        <v>634</v>
      </c>
      <c r="C153" s="49" t="s">
        <v>463</v>
      </c>
      <c r="D153" s="50">
        <v>45253</v>
      </c>
      <c r="E153" s="51" t="s">
        <v>372</v>
      </c>
      <c r="F153" s="49" t="s">
        <v>70</v>
      </c>
      <c r="G153" s="49" t="s">
        <v>120</v>
      </c>
      <c r="H153" s="49" t="s">
        <v>61</v>
      </c>
      <c r="I153" s="49" t="s">
        <v>61</v>
      </c>
      <c r="J153" s="49" t="s">
        <v>314</v>
      </c>
      <c r="K153" s="49"/>
      <c r="L153" s="50"/>
      <c r="M153" s="49"/>
      <c r="N153" s="49" t="s">
        <v>175</v>
      </c>
      <c r="O153" s="49"/>
      <c r="P153" s="50"/>
      <c r="Q153" s="52"/>
      <c r="R153" s="36"/>
    </row>
    <row r="154" spans="1:18" s="47" customFormat="1" ht="12" x14ac:dyDescent="0.2">
      <c r="A154" s="104">
        <v>497</v>
      </c>
      <c r="B154" s="48" t="s">
        <v>451</v>
      </c>
      <c r="C154" s="49" t="s">
        <v>452</v>
      </c>
      <c r="D154" s="50">
        <v>44635</v>
      </c>
      <c r="E154" s="51" t="s">
        <v>237</v>
      </c>
      <c r="F154" s="49" t="s">
        <v>70</v>
      </c>
      <c r="G154" s="49" t="s">
        <v>296</v>
      </c>
      <c r="H154" s="49" t="s">
        <v>59</v>
      </c>
      <c r="I154" s="49" t="s">
        <v>59</v>
      </c>
      <c r="J154" s="49" t="s">
        <v>194</v>
      </c>
      <c r="K154" s="49"/>
      <c r="L154" s="50"/>
      <c r="M154" s="49"/>
      <c r="N154" s="49" t="s">
        <v>302</v>
      </c>
      <c r="O154" s="49"/>
      <c r="P154" s="50"/>
      <c r="Q154" s="52" t="s">
        <v>1782</v>
      </c>
      <c r="R154" s="36"/>
    </row>
    <row r="155" spans="1:18" s="47" customFormat="1" ht="12" x14ac:dyDescent="0.2">
      <c r="A155" s="104">
        <v>211</v>
      </c>
      <c r="B155" s="48" t="s">
        <v>214</v>
      </c>
      <c r="C155" s="49" t="s">
        <v>215</v>
      </c>
      <c r="D155" s="50">
        <v>41651</v>
      </c>
      <c r="E155" s="51" t="s">
        <v>237</v>
      </c>
      <c r="F155" s="49" t="s">
        <v>70</v>
      </c>
      <c r="G155" s="49" t="s">
        <v>296</v>
      </c>
      <c r="H155" s="49" t="s">
        <v>61</v>
      </c>
      <c r="I155" s="49" t="s">
        <v>61</v>
      </c>
      <c r="J155" s="49" t="s">
        <v>174</v>
      </c>
      <c r="K155" s="49"/>
      <c r="L155" s="50"/>
      <c r="M155" s="49"/>
      <c r="N155" s="49" t="s">
        <v>419</v>
      </c>
      <c r="O155" s="49"/>
      <c r="P155" s="50"/>
      <c r="Q155" s="52"/>
      <c r="R155" s="36"/>
    </row>
    <row r="156" spans="1:18" s="47" customFormat="1" ht="12" x14ac:dyDescent="0.2">
      <c r="A156" s="104">
        <v>678</v>
      </c>
      <c r="B156" s="48" t="s">
        <v>655</v>
      </c>
      <c r="C156" s="49" t="s">
        <v>656</v>
      </c>
      <c r="D156" s="50">
        <v>45376</v>
      </c>
      <c r="E156" s="51" t="s">
        <v>206</v>
      </c>
      <c r="F156" s="49" t="s">
        <v>70</v>
      </c>
      <c r="G156" s="49" t="s">
        <v>122</v>
      </c>
      <c r="H156" s="49" t="s">
        <v>61</v>
      </c>
      <c r="I156" s="49" t="s">
        <v>61</v>
      </c>
      <c r="J156" s="49" t="s">
        <v>400</v>
      </c>
      <c r="K156" s="49"/>
      <c r="L156" s="50"/>
      <c r="M156" s="49"/>
      <c r="N156" s="49" t="s">
        <v>175</v>
      </c>
      <c r="O156" s="49"/>
      <c r="P156" s="50"/>
      <c r="Q156" s="52"/>
      <c r="R156" s="36"/>
    </row>
    <row r="157" spans="1:18" s="47" customFormat="1" ht="12" x14ac:dyDescent="0.2">
      <c r="A157" s="104">
        <v>308</v>
      </c>
      <c r="B157" s="48" t="s">
        <v>289</v>
      </c>
      <c r="C157" s="49" t="s">
        <v>290</v>
      </c>
      <c r="D157" s="50">
        <v>43584</v>
      </c>
      <c r="E157" s="51" t="s">
        <v>291</v>
      </c>
      <c r="F157" s="49" t="s">
        <v>70</v>
      </c>
      <c r="G157" s="49" t="s">
        <v>158</v>
      </c>
      <c r="H157" s="49" t="s">
        <v>46</v>
      </c>
      <c r="I157" s="49" t="s">
        <v>46</v>
      </c>
      <c r="J157" s="49" t="s">
        <v>293</v>
      </c>
      <c r="K157" s="49"/>
      <c r="L157" s="50"/>
      <c r="M157" s="49"/>
      <c r="N157" s="49" t="s">
        <v>1696</v>
      </c>
      <c r="O157" s="49"/>
      <c r="P157" s="50"/>
      <c r="Q157" s="52"/>
      <c r="R157" s="36"/>
    </row>
    <row r="158" spans="1:18" s="47" customFormat="1" ht="12.75" customHeight="1" x14ac:dyDescent="0.2">
      <c r="A158" s="104">
        <v>450</v>
      </c>
      <c r="B158" s="53" t="s">
        <v>420</v>
      </c>
      <c r="C158" s="54" t="s">
        <v>421</v>
      </c>
      <c r="D158" s="50">
        <v>44466</v>
      </c>
      <c r="E158" s="55" t="s">
        <v>422</v>
      </c>
      <c r="F158" s="49" t="s">
        <v>72</v>
      </c>
      <c r="G158" s="49" t="s">
        <v>118</v>
      </c>
      <c r="H158" s="49" t="s">
        <v>57</v>
      </c>
      <c r="I158" s="49" t="s">
        <v>57</v>
      </c>
      <c r="J158" s="49" t="s">
        <v>1661</v>
      </c>
      <c r="K158" s="49"/>
      <c r="L158" s="50"/>
      <c r="M158" s="49"/>
      <c r="N158" s="49" t="s">
        <v>72</v>
      </c>
      <c r="O158" s="49"/>
      <c r="P158" s="50"/>
      <c r="Q158" s="52"/>
      <c r="R158" s="36"/>
    </row>
    <row r="159" spans="1:18" s="47" customFormat="1" ht="12" x14ac:dyDescent="0.2">
      <c r="A159" s="104">
        <v>552</v>
      </c>
      <c r="B159" s="48" t="s">
        <v>509</v>
      </c>
      <c r="C159" s="49" t="s">
        <v>510</v>
      </c>
      <c r="D159" s="50">
        <v>44851</v>
      </c>
      <c r="E159" s="51" t="s">
        <v>511</v>
      </c>
      <c r="F159" s="49" t="s">
        <v>70</v>
      </c>
      <c r="G159" s="49" t="s">
        <v>1797</v>
      </c>
      <c r="H159" s="49" t="s">
        <v>46</v>
      </c>
      <c r="I159" s="49" t="s">
        <v>46</v>
      </c>
      <c r="J159" s="49" t="s">
        <v>512</v>
      </c>
      <c r="K159" s="49"/>
      <c r="L159" s="50"/>
      <c r="M159" s="49"/>
      <c r="N159" s="49" t="s">
        <v>513</v>
      </c>
      <c r="O159" s="49"/>
      <c r="P159" s="50"/>
      <c r="Q159" s="52"/>
      <c r="R159" s="36"/>
    </row>
    <row r="160" spans="1:18" s="47" customFormat="1" ht="12" x14ac:dyDescent="0.2">
      <c r="A160" s="104">
        <v>434</v>
      </c>
      <c r="B160" s="48" t="s">
        <v>354</v>
      </c>
      <c r="C160" s="49" t="s">
        <v>355</v>
      </c>
      <c r="D160" s="50">
        <v>44234</v>
      </c>
      <c r="E160" s="51" t="s">
        <v>356</v>
      </c>
      <c r="F160" s="49" t="s">
        <v>70</v>
      </c>
      <c r="G160" s="49" t="s">
        <v>1803</v>
      </c>
      <c r="H160" s="49" t="s">
        <v>46</v>
      </c>
      <c r="I160" s="49" t="s">
        <v>46</v>
      </c>
      <c r="J160" s="49" t="s">
        <v>1654</v>
      </c>
      <c r="K160" s="49"/>
      <c r="L160" s="50"/>
      <c r="M160" s="49"/>
      <c r="N160" s="49" t="s">
        <v>284</v>
      </c>
      <c r="O160" s="49"/>
      <c r="P160" s="50"/>
      <c r="Q160" s="52"/>
      <c r="R160" s="36"/>
    </row>
    <row r="161" spans="1:18" s="47" customFormat="1" ht="12" x14ac:dyDescent="0.2">
      <c r="A161" s="104">
        <v>572</v>
      </c>
      <c r="B161" s="48" t="s">
        <v>534</v>
      </c>
      <c r="C161" s="49" t="s">
        <v>535</v>
      </c>
      <c r="D161" s="50">
        <v>44886</v>
      </c>
      <c r="E161" s="51" t="s">
        <v>206</v>
      </c>
      <c r="F161" s="49" t="s">
        <v>70</v>
      </c>
      <c r="G161" s="49" t="s">
        <v>122</v>
      </c>
      <c r="H161" s="49" t="s">
        <v>59</v>
      </c>
      <c r="I161" s="49" t="s">
        <v>59</v>
      </c>
      <c r="J161" s="49" t="s">
        <v>536</v>
      </c>
      <c r="K161" s="49"/>
      <c r="L161" s="50"/>
      <c r="M161" s="49"/>
      <c r="N161" s="49" t="s">
        <v>297</v>
      </c>
      <c r="O161" s="49"/>
      <c r="P161" s="50"/>
      <c r="Q161" s="52" t="s">
        <v>1784</v>
      </c>
      <c r="R161" s="36"/>
    </row>
    <row r="162" spans="1:18" s="47" customFormat="1" ht="12" x14ac:dyDescent="0.2">
      <c r="A162" s="104">
        <v>592</v>
      </c>
      <c r="B162" s="48" t="s">
        <v>539</v>
      </c>
      <c r="C162" s="49" t="s">
        <v>540</v>
      </c>
      <c r="D162" s="50">
        <v>44929</v>
      </c>
      <c r="E162" s="51" t="s">
        <v>181</v>
      </c>
      <c r="F162" s="49" t="s">
        <v>70</v>
      </c>
      <c r="G162" s="49" t="s">
        <v>120</v>
      </c>
      <c r="H162" s="49" t="s">
        <v>57</v>
      </c>
      <c r="I162" s="49" t="s">
        <v>57</v>
      </c>
      <c r="J162" s="49" t="s">
        <v>162</v>
      </c>
      <c r="K162" s="49"/>
      <c r="L162" s="50"/>
      <c r="M162" s="49"/>
      <c r="N162" s="49" t="s">
        <v>239</v>
      </c>
      <c r="O162" s="49"/>
      <c r="P162" s="50"/>
      <c r="Q162" s="52"/>
      <c r="R162" s="36"/>
    </row>
    <row r="163" spans="1:18" s="47" customFormat="1" ht="12" x14ac:dyDescent="0.2">
      <c r="A163" s="104">
        <v>453</v>
      </c>
      <c r="B163" s="48" t="s">
        <v>416</v>
      </c>
      <c r="C163" s="49" t="s">
        <v>417</v>
      </c>
      <c r="D163" s="50">
        <v>44459</v>
      </c>
      <c r="E163" s="51" t="s">
        <v>418</v>
      </c>
      <c r="F163" s="49" t="s">
        <v>70</v>
      </c>
      <c r="G163" s="49" t="s">
        <v>55</v>
      </c>
      <c r="H163" s="49" t="s">
        <v>61</v>
      </c>
      <c r="I163" s="49" t="s">
        <v>55</v>
      </c>
      <c r="J163" s="49" t="s">
        <v>1691</v>
      </c>
      <c r="K163" s="49"/>
      <c r="L163" s="50"/>
      <c r="M163" s="49"/>
      <c r="N163" s="49" t="s">
        <v>55</v>
      </c>
      <c r="O163" s="49"/>
      <c r="P163" s="50"/>
      <c r="Q163" s="52"/>
      <c r="R163" s="36"/>
    </row>
    <row r="164" spans="1:18" s="47" customFormat="1" ht="12" x14ac:dyDescent="0.2">
      <c r="A164" s="104">
        <v>457</v>
      </c>
      <c r="B164" s="48" t="s">
        <v>350</v>
      </c>
      <c r="C164" s="49" t="s">
        <v>351</v>
      </c>
      <c r="D164" s="50">
        <v>44207</v>
      </c>
      <c r="E164" s="51" t="s">
        <v>352</v>
      </c>
      <c r="F164" s="49" t="s">
        <v>70</v>
      </c>
      <c r="G164" s="49" t="s">
        <v>227</v>
      </c>
      <c r="H164" s="49" t="s">
        <v>223</v>
      </c>
      <c r="I164" s="49" t="s">
        <v>223</v>
      </c>
      <c r="J164" s="49" t="s">
        <v>353</v>
      </c>
      <c r="K164" s="49"/>
      <c r="L164" s="50"/>
      <c r="M164" s="49"/>
      <c r="N164" s="49" t="s">
        <v>227</v>
      </c>
      <c r="O164" s="49"/>
      <c r="P164" s="50"/>
      <c r="Q164" s="52"/>
      <c r="R164" s="36"/>
    </row>
    <row r="165" spans="1:18" s="47" customFormat="1" ht="12" x14ac:dyDescent="0.2">
      <c r="A165" s="104">
        <v>190</v>
      </c>
      <c r="B165" s="48" t="s">
        <v>235</v>
      </c>
      <c r="C165" s="49" t="s">
        <v>236</v>
      </c>
      <c r="D165" s="50">
        <v>41984</v>
      </c>
      <c r="E165" s="51" t="s">
        <v>237</v>
      </c>
      <c r="F165" s="49" t="s">
        <v>70</v>
      </c>
      <c r="G165" s="49" t="s">
        <v>296</v>
      </c>
      <c r="H165" s="49" t="s">
        <v>57</v>
      </c>
      <c r="I165" s="49" t="s">
        <v>57</v>
      </c>
      <c r="J165" s="49" t="s">
        <v>238</v>
      </c>
      <c r="K165" s="49"/>
      <c r="L165" s="50"/>
      <c r="M165" s="49"/>
      <c r="N165" s="49" t="s">
        <v>617</v>
      </c>
      <c r="O165" s="49"/>
      <c r="P165" s="50"/>
      <c r="Q165" s="52"/>
      <c r="R165" s="36"/>
    </row>
    <row r="166" spans="1:18" s="47" customFormat="1" ht="12" x14ac:dyDescent="0.2">
      <c r="A166" s="104">
        <v>277</v>
      </c>
      <c r="B166" s="48" t="s">
        <v>279</v>
      </c>
      <c r="C166" s="49" t="s">
        <v>236</v>
      </c>
      <c r="D166" s="50">
        <v>43313</v>
      </c>
      <c r="E166" s="51" t="s">
        <v>181</v>
      </c>
      <c r="F166" s="49" t="s">
        <v>70</v>
      </c>
      <c r="G166" s="49" t="s">
        <v>120</v>
      </c>
      <c r="H166" s="49" t="s">
        <v>46</v>
      </c>
      <c r="I166" s="49" t="s">
        <v>46</v>
      </c>
      <c r="J166" s="49" t="s">
        <v>1668</v>
      </c>
      <c r="K166" s="49"/>
      <c r="L166" s="50"/>
      <c r="M166" s="49"/>
      <c r="N166" s="59" t="s">
        <v>1671</v>
      </c>
      <c r="O166" s="49"/>
      <c r="P166" s="50"/>
      <c r="Q166" s="52" t="s">
        <v>1714</v>
      </c>
      <c r="R166" s="36"/>
    </row>
    <row r="167" spans="1:18" s="47" customFormat="1" ht="12" x14ac:dyDescent="0.2">
      <c r="A167" s="104">
        <v>396</v>
      </c>
      <c r="B167" s="48" t="s">
        <v>405</v>
      </c>
      <c r="C167" s="49" t="s">
        <v>406</v>
      </c>
      <c r="D167" s="50">
        <v>44411</v>
      </c>
      <c r="E167" s="51" t="s">
        <v>169</v>
      </c>
      <c r="F167" s="49" t="s">
        <v>70</v>
      </c>
      <c r="G167" s="49" t="s">
        <v>120</v>
      </c>
      <c r="H167" s="49" t="s">
        <v>46</v>
      </c>
      <c r="I167" s="49" t="s">
        <v>46</v>
      </c>
      <c r="J167" s="49" t="s">
        <v>1668</v>
      </c>
      <c r="K167" s="49"/>
      <c r="L167" s="50"/>
      <c r="M167" s="49"/>
      <c r="N167" s="59" t="s">
        <v>1696</v>
      </c>
      <c r="O167" s="49"/>
      <c r="P167" s="50"/>
      <c r="Q167" s="52"/>
      <c r="R167" s="36"/>
    </row>
    <row r="168" spans="1:18" s="47" customFormat="1" ht="12" x14ac:dyDescent="0.2">
      <c r="A168" s="104">
        <v>98</v>
      </c>
      <c r="B168" s="48" t="s">
        <v>167</v>
      </c>
      <c r="C168" s="49" t="s">
        <v>168</v>
      </c>
      <c r="D168" s="50">
        <v>38495</v>
      </c>
      <c r="E168" s="51" t="s">
        <v>169</v>
      </c>
      <c r="F168" s="49" t="s">
        <v>70</v>
      </c>
      <c r="G168" s="49" t="s">
        <v>120</v>
      </c>
      <c r="H168" s="49" t="s">
        <v>46</v>
      </c>
      <c r="I168" s="49" t="s">
        <v>46</v>
      </c>
      <c r="J168" s="49" t="s">
        <v>1668</v>
      </c>
      <c r="K168" s="49"/>
      <c r="L168" s="50"/>
      <c r="M168" s="49"/>
      <c r="N168" s="49" t="s">
        <v>1669</v>
      </c>
      <c r="O168" s="49"/>
      <c r="P168" s="50"/>
      <c r="Q168" s="52"/>
      <c r="R168" s="36"/>
    </row>
    <row r="169" spans="1:18" s="47" customFormat="1" ht="12" x14ac:dyDescent="0.2">
      <c r="A169" s="104">
        <v>516</v>
      </c>
      <c r="B169" s="48" t="s">
        <v>474</v>
      </c>
      <c r="C169" s="49" t="s">
        <v>475</v>
      </c>
      <c r="D169" s="50">
        <v>44732</v>
      </c>
      <c r="E169" s="51" t="s">
        <v>476</v>
      </c>
      <c r="F169" s="49" t="s">
        <v>70</v>
      </c>
      <c r="G169" s="49" t="s">
        <v>119</v>
      </c>
      <c r="H169" s="49" t="s">
        <v>59</v>
      </c>
      <c r="I169" s="49" t="s">
        <v>59</v>
      </c>
      <c r="J169" s="49" t="s">
        <v>334</v>
      </c>
      <c r="K169" s="49"/>
      <c r="L169" s="50"/>
      <c r="M169" s="49"/>
      <c r="N169" s="49" t="s">
        <v>302</v>
      </c>
      <c r="O169" s="49"/>
      <c r="P169" s="50"/>
      <c r="Q169" s="52"/>
      <c r="R169" s="36"/>
    </row>
    <row r="170" spans="1:18" s="47" customFormat="1" ht="12" x14ac:dyDescent="0.2">
      <c r="A170" s="104" t="e">
        <v>#N/A</v>
      </c>
      <c r="B170" s="48" t="s">
        <v>344</v>
      </c>
      <c r="C170" s="49" t="s">
        <v>345</v>
      </c>
      <c r="D170" s="50" t="s">
        <v>114</v>
      </c>
      <c r="E170" s="51" t="s">
        <v>346</v>
      </c>
      <c r="F170" s="49" t="s">
        <v>70</v>
      </c>
      <c r="G170" s="49" t="s">
        <v>347</v>
      </c>
      <c r="H170" s="49" t="s">
        <v>59</v>
      </c>
      <c r="I170" s="49" t="s">
        <v>59</v>
      </c>
      <c r="J170" s="49" t="s">
        <v>194</v>
      </c>
      <c r="K170" s="49"/>
      <c r="L170" s="50"/>
      <c r="M170" s="49"/>
      <c r="N170" s="49" t="s">
        <v>302</v>
      </c>
      <c r="O170" s="49"/>
      <c r="P170" s="50"/>
      <c r="Q170" s="52" t="s">
        <v>348</v>
      </c>
      <c r="R170" s="36"/>
    </row>
    <row r="171" spans="1:18" s="47" customFormat="1" ht="12" x14ac:dyDescent="0.2">
      <c r="A171" s="104">
        <v>559</v>
      </c>
      <c r="B171" s="48" t="s">
        <v>527</v>
      </c>
      <c r="C171" s="49" t="s">
        <v>528</v>
      </c>
      <c r="D171" s="50">
        <v>44879</v>
      </c>
      <c r="E171" s="51" t="s">
        <v>529</v>
      </c>
      <c r="F171" s="49" t="s">
        <v>70</v>
      </c>
      <c r="G171" s="49" t="s">
        <v>1797</v>
      </c>
      <c r="H171" s="49" t="s">
        <v>46</v>
      </c>
      <c r="I171" s="49" t="s">
        <v>46</v>
      </c>
      <c r="J171" s="49" t="s">
        <v>512</v>
      </c>
      <c r="K171" s="49"/>
      <c r="L171" s="50"/>
      <c r="M171" s="49"/>
      <c r="N171" s="49" t="s">
        <v>513</v>
      </c>
      <c r="O171" s="49"/>
      <c r="P171" s="50"/>
      <c r="Q171" s="52"/>
      <c r="R171" s="36"/>
    </row>
    <row r="172" spans="1:18" s="47" customFormat="1" ht="12" x14ac:dyDescent="0.2">
      <c r="A172" s="104">
        <v>684</v>
      </c>
      <c r="B172" s="48" t="s">
        <v>657</v>
      </c>
      <c r="C172" s="49" t="s">
        <v>658</v>
      </c>
      <c r="D172" s="50">
        <v>45384</v>
      </c>
      <c r="E172" s="51" t="s">
        <v>659</v>
      </c>
      <c r="F172" s="49" t="s">
        <v>70</v>
      </c>
      <c r="G172" s="49" t="s">
        <v>121</v>
      </c>
      <c r="H172" s="49" t="s">
        <v>60</v>
      </c>
      <c r="I172" s="49" t="s">
        <v>60</v>
      </c>
      <c r="J172" s="49" t="s">
        <v>660</v>
      </c>
      <c r="K172" s="49"/>
      <c r="L172" s="50"/>
      <c r="M172" s="49"/>
      <c r="N172" s="49" t="s">
        <v>60</v>
      </c>
      <c r="O172" s="49"/>
      <c r="P172" s="50"/>
      <c r="Q172" s="52"/>
      <c r="R172" s="36"/>
    </row>
    <row r="173" spans="1:18" s="47" customFormat="1" ht="12" x14ac:dyDescent="0.2">
      <c r="A173" s="104">
        <v>298</v>
      </c>
      <c r="B173" s="48" t="s">
        <v>491</v>
      </c>
      <c r="C173" s="49" t="s">
        <v>612</v>
      </c>
      <c r="D173" s="50">
        <v>45177</v>
      </c>
      <c r="E173" s="51" t="s">
        <v>613</v>
      </c>
      <c r="F173" s="49" t="s">
        <v>70</v>
      </c>
      <c r="G173" s="49" t="s">
        <v>119</v>
      </c>
      <c r="H173" s="49" t="s">
        <v>61</v>
      </c>
      <c r="I173" s="49" t="s">
        <v>61</v>
      </c>
      <c r="J173" s="49" t="s">
        <v>1691</v>
      </c>
      <c r="K173" s="49" t="s">
        <v>61</v>
      </c>
      <c r="L173" s="88">
        <v>45467</v>
      </c>
      <c r="M173" s="49" t="s">
        <v>392</v>
      </c>
      <c r="N173" s="49" t="s">
        <v>419</v>
      </c>
      <c r="O173" s="49" t="s">
        <v>175</v>
      </c>
      <c r="P173" s="50"/>
      <c r="Q173" s="52"/>
      <c r="R173" s="36"/>
    </row>
    <row r="174" spans="1:18" s="47" customFormat="1" ht="12" x14ac:dyDescent="0.2">
      <c r="A174" s="104">
        <v>414</v>
      </c>
      <c r="B174" s="48" t="s">
        <v>378</v>
      </c>
      <c r="C174" s="49" t="s">
        <v>379</v>
      </c>
      <c r="D174" s="50">
        <v>44336</v>
      </c>
      <c r="E174" s="51" t="s">
        <v>372</v>
      </c>
      <c r="F174" s="49" t="s">
        <v>70</v>
      </c>
      <c r="G174" s="49" t="s">
        <v>120</v>
      </c>
      <c r="H174" s="49" t="s">
        <v>61</v>
      </c>
      <c r="I174" s="49" t="s">
        <v>61</v>
      </c>
      <c r="J174" s="49" t="s">
        <v>314</v>
      </c>
      <c r="K174" s="49"/>
      <c r="L174" s="50"/>
      <c r="M174" s="49"/>
      <c r="N174" s="49" t="s">
        <v>467</v>
      </c>
      <c r="O174" s="49"/>
      <c r="P174" s="50"/>
      <c r="Q174" s="52" t="s">
        <v>381</v>
      </c>
      <c r="R174" s="36"/>
    </row>
    <row r="175" spans="1:18" s="47" customFormat="1" ht="12" x14ac:dyDescent="0.2">
      <c r="A175" s="104">
        <v>21</v>
      </c>
      <c r="B175" s="48" t="s">
        <v>144</v>
      </c>
      <c r="C175" s="49" t="s">
        <v>145</v>
      </c>
      <c r="D175" s="50">
        <v>35338</v>
      </c>
      <c r="E175" s="51" t="s">
        <v>146</v>
      </c>
      <c r="F175" s="49" t="s">
        <v>70</v>
      </c>
      <c r="G175" s="49" t="s">
        <v>1765</v>
      </c>
      <c r="H175" s="49" t="s">
        <v>57</v>
      </c>
      <c r="I175" s="49" t="s">
        <v>57</v>
      </c>
      <c r="J175" s="49" t="s">
        <v>490</v>
      </c>
      <c r="K175" s="49"/>
      <c r="L175" s="50"/>
      <c r="M175" s="49"/>
      <c r="N175" s="49" t="s">
        <v>1670</v>
      </c>
      <c r="O175" s="49"/>
      <c r="P175" s="50"/>
      <c r="Q175" s="52"/>
      <c r="R175" s="36"/>
    </row>
    <row r="176" spans="1:18" s="47" customFormat="1" ht="12" x14ac:dyDescent="0.2">
      <c r="A176" s="104">
        <v>165</v>
      </c>
      <c r="B176" s="62" t="s">
        <v>204</v>
      </c>
      <c r="C176" s="63" t="s">
        <v>205</v>
      </c>
      <c r="D176" s="64">
        <v>41390</v>
      </c>
      <c r="E176" s="65" t="s">
        <v>206</v>
      </c>
      <c r="F176" s="63" t="s">
        <v>1679</v>
      </c>
      <c r="G176" s="49" t="s">
        <v>122</v>
      </c>
      <c r="H176" s="63" t="s">
        <v>46</v>
      </c>
      <c r="I176" s="63" t="s">
        <v>46</v>
      </c>
      <c r="J176" s="63" t="s">
        <v>207</v>
      </c>
      <c r="K176" s="63"/>
      <c r="L176" s="64"/>
      <c r="M176" s="63"/>
      <c r="N176" s="63" t="s">
        <v>1671</v>
      </c>
      <c r="O176" s="63"/>
      <c r="P176" s="64"/>
      <c r="Q176" s="66" t="s">
        <v>208</v>
      </c>
      <c r="R176" s="36"/>
    </row>
    <row r="177" spans="2:16" x14ac:dyDescent="0.2">
      <c r="B177" s="3"/>
      <c r="C177" s="3"/>
      <c r="D177" s="1"/>
      <c r="E177" s="4"/>
      <c r="F177" s="3"/>
      <c r="G177" s="3"/>
      <c r="H177" s="3"/>
    </row>
    <row r="179" spans="2:16" x14ac:dyDescent="0.2">
      <c r="B179" s="2" t="s">
        <v>1811</v>
      </c>
    </row>
    <row r="183" spans="2:16" ht="15" x14ac:dyDescent="0.25">
      <c r="B183" s="67" t="s">
        <v>1715</v>
      </c>
    </row>
    <row r="184" spans="2:16" ht="13.9" customHeight="1" x14ac:dyDescent="0.2">
      <c r="B184" s="9" t="s">
        <v>128</v>
      </c>
      <c r="C184" s="10" t="s">
        <v>129</v>
      </c>
      <c r="D184" s="11" t="s">
        <v>130</v>
      </c>
      <c r="E184" s="10" t="s">
        <v>131</v>
      </c>
      <c r="F184" s="12" t="s">
        <v>68</v>
      </c>
      <c r="G184" s="13" t="s">
        <v>134</v>
      </c>
      <c r="H184" s="13" t="s">
        <v>1653</v>
      </c>
      <c r="I184" s="14" t="s">
        <v>135</v>
      </c>
      <c r="J184" s="14" t="s">
        <v>136</v>
      </c>
      <c r="K184" s="14" t="s">
        <v>137</v>
      </c>
      <c r="L184" s="15" t="s">
        <v>117</v>
      </c>
      <c r="M184" s="15" t="s">
        <v>138</v>
      </c>
      <c r="N184" s="15" t="s">
        <v>139</v>
      </c>
      <c r="O184" s="16" t="s">
        <v>140</v>
      </c>
      <c r="P184" s="99"/>
    </row>
    <row r="185" spans="2:16" x14ac:dyDescent="0.2">
      <c r="B185" s="17" t="s">
        <v>273</v>
      </c>
      <c r="C185" s="6" t="s">
        <v>168</v>
      </c>
      <c r="D185" s="7">
        <v>43220</v>
      </c>
      <c r="E185" s="8" t="s">
        <v>274</v>
      </c>
      <c r="F185" s="6" t="s">
        <v>62</v>
      </c>
      <c r="G185" s="6"/>
      <c r="H185" s="6"/>
      <c r="I185" s="6"/>
      <c r="J185" s="7"/>
      <c r="K185" s="6"/>
      <c r="L185" s="6"/>
      <c r="M185" s="6"/>
      <c r="N185" s="7"/>
      <c r="O185" s="18"/>
      <c r="P185" s="5"/>
    </row>
    <row r="186" spans="2:16" x14ac:dyDescent="0.2">
      <c r="B186" s="17" t="s">
        <v>408</v>
      </c>
      <c r="C186" s="6" t="s">
        <v>409</v>
      </c>
      <c r="D186" s="7">
        <v>44431</v>
      </c>
      <c r="E186" s="6" t="s">
        <v>274</v>
      </c>
      <c r="F186" s="6" t="s">
        <v>62</v>
      </c>
      <c r="G186" s="19"/>
      <c r="H186" s="19"/>
      <c r="I186" s="19"/>
      <c r="J186" s="68"/>
      <c r="K186" s="19"/>
      <c r="L186" s="19"/>
      <c r="M186" s="19"/>
      <c r="N186" s="19"/>
      <c r="O186" s="69"/>
    </row>
    <row r="187" spans="2:16" x14ac:dyDescent="0.2">
      <c r="B187" s="17" t="s">
        <v>472</v>
      </c>
      <c r="C187" s="17" t="s">
        <v>473</v>
      </c>
      <c r="D187" s="7">
        <v>44729</v>
      </c>
      <c r="E187" s="6" t="s">
        <v>274</v>
      </c>
      <c r="F187" s="6" t="s">
        <v>62</v>
      </c>
      <c r="G187" s="19"/>
      <c r="H187" s="19"/>
      <c r="I187" s="19"/>
      <c r="J187" s="68"/>
      <c r="K187" s="19"/>
      <c r="L187" s="19"/>
      <c r="M187" s="19"/>
      <c r="N187" s="19"/>
      <c r="O187" s="69"/>
    </row>
    <row r="188" spans="2:16" x14ac:dyDescent="0.2">
      <c r="B188" s="17" t="s">
        <v>1297</v>
      </c>
      <c r="C188" s="17" t="s">
        <v>548</v>
      </c>
      <c r="D188" s="7">
        <v>44431</v>
      </c>
      <c r="E188" s="6" t="s">
        <v>274</v>
      </c>
      <c r="F188" s="6" t="s">
        <v>62</v>
      </c>
      <c r="G188" s="70"/>
      <c r="H188" s="70"/>
      <c r="I188" s="70"/>
      <c r="J188" s="71"/>
      <c r="K188" s="70"/>
      <c r="L188" s="70"/>
      <c r="M188" s="70"/>
      <c r="N188" s="70"/>
      <c r="O188" s="72"/>
    </row>
    <row r="189" spans="2:16" x14ac:dyDescent="0.2">
      <c r="B189" s="17" t="s">
        <v>1184</v>
      </c>
      <c r="C189" s="17" t="s">
        <v>1185</v>
      </c>
      <c r="D189" s="7">
        <v>44155</v>
      </c>
      <c r="E189" s="6" t="s">
        <v>1186</v>
      </c>
      <c r="F189" s="6" t="s">
        <v>1716</v>
      </c>
      <c r="G189" s="70"/>
      <c r="H189" s="70"/>
      <c r="I189" s="70"/>
      <c r="J189" s="71"/>
      <c r="K189" s="70"/>
      <c r="L189" s="70"/>
      <c r="M189" s="70"/>
      <c r="N189" s="70"/>
      <c r="O189" s="72"/>
    </row>
  </sheetData>
  <pageMargins left="0.7" right="0.7" top="0.75" bottom="0.75" header="0.3" footer="0.3"/>
  <headerFooter>
    <oddHeader>&amp;C&amp;"Calibri"&amp;10&amp;K000000 [PROTECTED_INTERNAL]&amp;1#_x000D_</oddHeader>
  </headerFooter>
  <legacy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9bf318e6-409c-400e-b6f0-3d056d1cada0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429C51B94E4E44A5EF27DF03A96C36" ma:contentTypeVersion="9" ma:contentTypeDescription="Create a new document." ma:contentTypeScope="" ma:versionID="17e083b6792adbaf6ff058a1e467e108">
  <xsd:schema xmlns:xsd="http://www.w3.org/2001/XMLSchema" xmlns:xs="http://www.w3.org/2001/XMLSchema" xmlns:p="http://schemas.microsoft.com/office/2006/metadata/properties" xmlns:ns2="9bf318e6-409c-400e-b6f0-3d056d1cada0" targetNamespace="http://schemas.microsoft.com/office/2006/metadata/properties" ma:root="true" ma:fieldsID="525d2eb91cf82ce819eadcce76a3eecd" ns2:_="">
    <xsd:import namespace="9bf318e6-409c-400e-b6f0-3d056d1ca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318e6-409c-400e-b6f0-3d056d1ca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16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0EAECE-B3E6-45F6-B6BF-88D13CFADBAD}">
  <ds:schemaRefs>
    <ds:schemaRef ds:uri="http://schemas.microsoft.com/office/2006/documentManagement/types"/>
    <ds:schemaRef ds:uri="9bf318e6-409c-400e-b6f0-3d056d1cada0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710EDD0-9B70-4866-BB78-2BEAE6E2901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33E28FD-B0BD-47DF-B919-7E8D1188D3C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EDA8BD-56B6-482A-91C1-D0AA616DCC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f318e6-409c-400e-b6f0-3d056d1cad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Role split</vt:lpstr>
      <vt:lpstr>Regional allocations LIVE</vt:lpstr>
      <vt:lpstr>Job Category (2019)</vt:lpstr>
      <vt:lpstr>Headcount by country</vt:lpstr>
      <vt:lpstr>Lists</vt:lpstr>
      <vt:lpstr>Notes</vt:lpstr>
      <vt:lpstr>Start list_Transition Planning</vt:lpstr>
      <vt:lpstr>OLDRequests Escalations &amp; Moves</vt:lpstr>
      <vt:lpstr>OLD - Regional allocations July</vt:lpstr>
      <vt:lpstr>Archive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Palezevic</dc:creator>
  <cp:keywords/>
  <dc:description/>
  <cp:lastModifiedBy>Laura McPherson</cp:lastModifiedBy>
  <cp:revision/>
  <dcterms:created xsi:type="dcterms:W3CDTF">2024-05-29T23:02:46Z</dcterms:created>
  <dcterms:modified xsi:type="dcterms:W3CDTF">2026-01-07T01:53:16Z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ebb307-b30b-4b40-b899-695e90f019d0_Enabled">
    <vt:lpwstr>true</vt:lpwstr>
  </property>
  <property fmtid="{D5CDD505-2E9C-101B-9397-08002B2CF9AE}" pid="3" name="MSIP_Label_9aebb307-b30b-4b40-b899-695e90f019d0_SetDate">
    <vt:lpwstr>2024-05-30T00:27:30Z</vt:lpwstr>
  </property>
  <property fmtid="{D5CDD505-2E9C-101B-9397-08002B2CF9AE}" pid="4" name="MSIP_Label_9aebb307-b30b-4b40-b899-695e90f019d0_Method">
    <vt:lpwstr>Standard</vt:lpwstr>
  </property>
  <property fmtid="{D5CDD505-2E9C-101B-9397-08002B2CF9AE}" pid="5" name="MSIP_Label_9aebb307-b30b-4b40-b899-695e90f019d0_Name">
    <vt:lpwstr>Protected-Internal</vt:lpwstr>
  </property>
  <property fmtid="{D5CDD505-2E9C-101B-9397-08002B2CF9AE}" pid="6" name="MSIP_Label_9aebb307-b30b-4b40-b899-695e90f019d0_SiteId">
    <vt:lpwstr>dfd472c7-fd23-4093-b4ff-92f4dfdb8074</vt:lpwstr>
  </property>
  <property fmtid="{D5CDD505-2E9C-101B-9397-08002B2CF9AE}" pid="7" name="MSIP_Label_9aebb307-b30b-4b40-b899-695e90f019d0_ActionId">
    <vt:lpwstr>66adbc3c-ba4d-496c-8f8a-20f11705e993</vt:lpwstr>
  </property>
  <property fmtid="{D5CDD505-2E9C-101B-9397-08002B2CF9AE}" pid="8" name="MSIP_Label_9aebb307-b30b-4b40-b899-695e90f019d0_ContentBits">
    <vt:lpwstr>1</vt:lpwstr>
  </property>
  <property fmtid="{D5CDD505-2E9C-101B-9397-08002B2CF9AE}" pid="9" name="ContentTypeId">
    <vt:lpwstr>0x01010080429C51B94E4E44A5EF27DF03A96C36</vt:lpwstr>
  </property>
  <property fmtid="{D5CDD505-2E9C-101B-9397-08002B2CF9AE}" pid="10" name="xd_ProgID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xd_Signature">
    <vt:bool>false</vt:bool>
  </property>
  <property fmtid="{D5CDD505-2E9C-101B-9397-08002B2CF9AE}" pid="16" name="SharedWithUsers">
    <vt:lpwstr>162;#Sheryl Saik</vt:lpwstr>
  </property>
</Properties>
</file>